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7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9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at_tsepap3\Box\13_新築事業部｜PG HOUSE\10_顧客フォルダ\10_2025年度\○月_白都平澤_住宅新築工事_伊藤友章様\03_設計\"/>
    </mc:Choice>
  </mc:AlternateContent>
  <xr:revisionPtr revIDLastSave="0" documentId="13_ncr:1_{89B3DC81-6DA2-43BD-A514-6DE62F9D521E}" xr6:coauthVersionLast="47" xr6:coauthVersionMax="47" xr10:uidLastSave="{00000000-0000-0000-0000-000000000000}"/>
  <bookViews>
    <workbookView xWindow="-120" yWindow="-120" windowWidth="29040" windowHeight="15720" activeTab="2" xr2:uid="{062C1465-4292-4CBE-9B58-D8F808276346}"/>
  </bookViews>
  <sheets>
    <sheet name="入力シート" sheetId="1" r:id="rId1"/>
    <sheet name="給排水図" sheetId="8" r:id="rId2"/>
    <sheet name="プレカット_ハイビック" sheetId="18" r:id="rId3"/>
    <sheet name="プレカット_SKY" sheetId="16" r:id="rId4"/>
    <sheet name="太陽光" sheetId="12" r:id="rId5"/>
    <sheet name="地盤調査" sheetId="13" r:id="rId6"/>
    <sheet name="LIXIL" sheetId="9" r:id="rId7"/>
    <sheet name="ルフロ図依頼" sheetId="10" r:id="rId8"/>
    <sheet name="事前依頼" sheetId="14" r:id="rId9"/>
    <sheet name="申請 依頼" sheetId="17" r:id="rId10"/>
    <sheet name="FAX" sheetId="11" r:id="rId11"/>
    <sheet name="FAX (カタログ依頼)" sheetId="19" r:id="rId12"/>
    <sheet name="クリナップ" sheetId="15" r:id="rId13"/>
    <sheet name="プレカット_天竜プレカット" sheetId="2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8" l="1"/>
  <c r="Q8" i="8"/>
  <c r="P4" i="12"/>
  <c r="Q9" i="13"/>
  <c r="Q8" i="13"/>
  <c r="Q9" i="17"/>
  <c r="Q8" i="17"/>
  <c r="Q9" i="14"/>
  <c r="Q8" i="14"/>
  <c r="Q9" i="10"/>
  <c r="Q8" i="10"/>
  <c r="S9" i="16"/>
  <c r="Q9" i="9"/>
  <c r="S8" i="16"/>
  <c r="Q9" i="18"/>
  <c r="Q8" i="18"/>
  <c r="G26" i="9"/>
  <c r="Q8" i="9"/>
  <c r="E23" i="1"/>
  <c r="S9" i="8" s="1"/>
  <c r="F8" i="14"/>
  <c r="F11" i="14"/>
  <c r="C10" i="14"/>
  <c r="C7" i="14"/>
  <c r="E24" i="1"/>
  <c r="E25" i="1"/>
  <c r="P33" i="16" s="1"/>
  <c r="N26" i="9"/>
  <c r="E11" i="1"/>
  <c r="E22" i="1"/>
  <c r="Q9" i="15" s="1"/>
  <c r="O9" i="15"/>
  <c r="E13" i="1"/>
  <c r="O9" i="19"/>
  <c r="P34" i="18"/>
  <c r="G34" i="18"/>
  <c r="G32" i="18"/>
  <c r="G30" i="18"/>
  <c r="G28" i="18"/>
  <c r="G26" i="18"/>
  <c r="C23" i="18"/>
  <c r="C18" i="18"/>
  <c r="S8" i="8" l="1"/>
  <c r="S8" i="18"/>
  <c r="S9" i="14"/>
  <c r="S8" i="10"/>
  <c r="S9" i="10"/>
  <c r="S8" i="14"/>
  <c r="S9" i="18"/>
  <c r="S8" i="9"/>
  <c r="S8" i="17"/>
  <c r="S9" i="17"/>
  <c r="U8" i="16"/>
  <c r="S8" i="13"/>
  <c r="S9" i="9"/>
  <c r="U9" i="16"/>
  <c r="S9" i="13"/>
  <c r="G30" i="17"/>
  <c r="G28" i="14"/>
  <c r="G30" i="14"/>
  <c r="C23" i="16"/>
  <c r="C19" i="16"/>
  <c r="G30" i="16"/>
  <c r="G28" i="16"/>
  <c r="G40" i="17"/>
  <c r="G38" i="17"/>
  <c r="G40" i="14"/>
  <c r="G38" i="14"/>
  <c r="G32" i="14"/>
  <c r="G38" i="10"/>
  <c r="P35" i="16"/>
  <c r="G35" i="16"/>
  <c r="G32" i="16"/>
  <c r="G27" i="8"/>
  <c r="D17" i="17"/>
  <c r="D17" i="14"/>
  <c r="D18" i="14"/>
  <c r="D18" i="17"/>
  <c r="G34" i="17"/>
  <c r="G32" i="17"/>
  <c r="G26" i="17"/>
  <c r="C23" i="17"/>
  <c r="F11" i="17"/>
  <c r="C10" i="17"/>
  <c r="F8" i="17"/>
  <c r="C7" i="17"/>
  <c r="P34" i="2"/>
  <c r="G34" i="2"/>
  <c r="G32" i="2"/>
  <c r="G30" i="2"/>
  <c r="G28" i="2"/>
  <c r="G26" i="16"/>
  <c r="G26" i="2"/>
  <c r="P32" i="18"/>
  <c r="Q9" i="19"/>
  <c r="J29" i="13"/>
  <c r="G29" i="13"/>
  <c r="C24" i="15"/>
  <c r="C24" i="9"/>
  <c r="N43" i="15"/>
  <c r="J26" i="17" l="1"/>
  <c r="J26" i="18"/>
  <c r="P32" i="16"/>
  <c r="J27" i="8"/>
  <c r="J26" i="16"/>
  <c r="I26" i="2"/>
  <c r="P32" i="2"/>
  <c r="G40" i="10"/>
  <c r="G34" i="14"/>
  <c r="J26" i="14"/>
  <c r="G26" i="14"/>
  <c r="C23" i="14"/>
  <c r="G42" i="10"/>
  <c r="O9" i="2"/>
  <c r="J27" i="13"/>
  <c r="G27" i="13"/>
  <c r="C24" i="13"/>
  <c r="C19" i="13"/>
  <c r="F5" i="12"/>
  <c r="Y5" i="12"/>
  <c r="T21" i="9"/>
  <c r="J27" i="11"/>
  <c r="G27" i="11"/>
  <c r="C24" i="11"/>
  <c r="C19" i="11"/>
  <c r="Q9" i="11"/>
  <c r="O9" i="11"/>
  <c r="J30" i="10"/>
  <c r="G30" i="10"/>
  <c r="C27" i="10"/>
  <c r="C22" i="10"/>
  <c r="C23" i="2" l="1"/>
  <c r="G32" i="9"/>
  <c r="G31" i="15" s="1"/>
  <c r="N28" i="9"/>
  <c r="N27" i="15" s="1"/>
  <c r="N30" i="9"/>
  <c r="N29" i="15" s="1"/>
  <c r="G30" i="9"/>
  <c r="G29" i="15" s="1"/>
  <c r="R43" i="15" s="1"/>
  <c r="G28" i="9" l="1"/>
  <c r="G27" i="15" s="1"/>
  <c r="P43" i="15" s="1"/>
  <c r="C19" i="9"/>
  <c r="C19" i="15" s="1"/>
  <c r="C24" i="8"/>
  <c r="C19" i="8"/>
  <c r="Q9" i="2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28" authorId="0" shapeId="0" xr:uid="{B6E5742B-2152-4F45-862F-5DEE4B77AA48}">
      <text>
        <r>
          <rPr>
            <b/>
            <sz val="9"/>
            <color indexed="81"/>
            <rFont val="ＭＳ Ｐゴシック"/>
            <family val="3"/>
            <charset val="128"/>
          </rPr>
          <t>Administrator: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<sst xmlns="http://schemas.openxmlformats.org/spreadsheetml/2006/main" count="636" uniqueCount="394">
  <si>
    <t>物件名</t>
    <rPh sb="0" eb="2">
      <t>ブッケン</t>
    </rPh>
    <rPh sb="2" eb="3">
      <t>メイ</t>
    </rPh>
    <phoneticPr fontId="1"/>
  </si>
  <si>
    <t>依頼者</t>
    <rPh sb="0" eb="2">
      <t>イライ</t>
    </rPh>
    <rPh sb="2" eb="3">
      <t>シャ</t>
    </rPh>
    <phoneticPr fontId="1"/>
  </si>
  <si>
    <t>依頼先</t>
  </si>
  <si>
    <t>静岡県浜松市天竜区船明2661番地</t>
    <phoneticPr fontId="1"/>
  </si>
  <si>
    <t>Tel：053-925-6311</t>
    <phoneticPr fontId="1"/>
  </si>
  <si>
    <t>Fax：053-925-6371</t>
    <phoneticPr fontId="1"/>
  </si>
  <si>
    <t>天竜プレカット事業協同組合　御中</t>
    <rPh sb="14" eb="16">
      <t>オンチュウ</t>
    </rPh>
    <phoneticPr fontId="1"/>
  </si>
  <si>
    <t>設計担当</t>
    <rPh sb="0" eb="2">
      <t>セッケイ</t>
    </rPh>
    <rPh sb="2" eb="4">
      <t>タントウ</t>
    </rPh>
    <phoneticPr fontId="1"/>
  </si>
  <si>
    <t>依頼日</t>
    <rPh sb="0" eb="2">
      <t>イライ</t>
    </rPh>
    <rPh sb="2" eb="3">
      <t>ビ</t>
    </rPh>
    <phoneticPr fontId="1"/>
  </si>
  <si>
    <t>期限日</t>
    <rPh sb="0" eb="2">
      <t>キゲン</t>
    </rPh>
    <rPh sb="2" eb="3">
      <t>ヒ</t>
    </rPh>
    <phoneticPr fontId="1"/>
  </si>
  <si>
    <t>天井高</t>
    <rPh sb="0" eb="2">
      <t>テンジョウ</t>
    </rPh>
    <rPh sb="2" eb="3">
      <t>タカ</t>
    </rPh>
    <phoneticPr fontId="1"/>
  </si>
  <si>
    <t>無し</t>
    <rPh sb="0" eb="1">
      <t>ナ</t>
    </rPh>
    <phoneticPr fontId="1"/>
  </si>
  <si>
    <t>申請設計事務所</t>
    <rPh sb="0" eb="2">
      <t>シンセイ</t>
    </rPh>
    <rPh sb="2" eb="4">
      <t>セッケイ</t>
    </rPh>
    <rPh sb="4" eb="6">
      <t>ジム</t>
    </rPh>
    <rPh sb="6" eb="7">
      <t>ショ</t>
    </rPh>
    <phoneticPr fontId="1"/>
  </si>
  <si>
    <t>y.kawase@tenryuprecut.jp</t>
  </si>
  <si>
    <t>s.hirose@tenryuprecut.jp</t>
    <phoneticPr fontId="1"/>
  </si>
  <si>
    <t>現場担当</t>
    <rPh sb="0" eb="2">
      <t>ゲンバ</t>
    </rPh>
    <rPh sb="2" eb="4">
      <t>タントウ</t>
    </rPh>
    <phoneticPr fontId="1"/>
  </si>
  <si>
    <t>〒431-3306　</t>
    <phoneticPr fontId="1"/>
  </si>
  <si>
    <t>ito.n@hakuto-k.jp</t>
  </si>
  <si>
    <t>工務</t>
    <rPh sb="0" eb="2">
      <t>コウム</t>
    </rPh>
    <phoneticPr fontId="1"/>
  </si>
  <si>
    <t>aoshima.s@hakuto-k.jp</t>
    <phoneticPr fontId="1"/>
  </si>
  <si>
    <t>k-nishi@proof.ocn.ne.jp</t>
    <phoneticPr fontId="1"/>
  </si>
  <si>
    <t>nobu.net.com@cy.tnc.ne.jp</t>
    <phoneticPr fontId="1"/>
  </si>
  <si>
    <t>申請設計</t>
    <rPh sb="0" eb="2">
      <t>シンセイ</t>
    </rPh>
    <rPh sb="2" eb="4">
      <t>セッケイ</t>
    </rPh>
    <phoneticPr fontId="1"/>
  </si>
  <si>
    <t>上棟</t>
    <rPh sb="0" eb="2">
      <t>ジョウトウ</t>
    </rPh>
    <phoneticPr fontId="1"/>
  </si>
  <si>
    <t>確認申請</t>
    <rPh sb="0" eb="2">
      <t>カクニン</t>
    </rPh>
    <rPh sb="2" eb="4">
      <t>シンセイ</t>
    </rPh>
    <phoneticPr fontId="1"/>
  </si>
  <si>
    <t>　プレカット図面　作成依頼</t>
    <rPh sb="6" eb="8">
      <t>ズメン</t>
    </rPh>
    <rPh sb="9" eb="11">
      <t>サクセイ</t>
    </rPh>
    <rPh sb="11" eb="13">
      <t>イライ</t>
    </rPh>
    <phoneticPr fontId="1"/>
  </si>
  <si>
    <t>上棟予定</t>
    <rPh sb="0" eb="2">
      <t>ジョウトウ</t>
    </rPh>
    <rPh sb="2" eb="4">
      <t>ヨテイ</t>
    </rPh>
    <phoneticPr fontId="1"/>
  </si>
  <si>
    <t>確認申請予定</t>
    <rPh sb="0" eb="2">
      <t>カクニン</t>
    </rPh>
    <rPh sb="2" eb="4">
      <t>シンセイ</t>
    </rPh>
    <rPh sb="4" eb="6">
      <t>ヨテイ</t>
    </rPh>
    <phoneticPr fontId="1"/>
  </si>
  <si>
    <t>　給排水経路　確認依頼</t>
    <rPh sb="1" eb="4">
      <t>キュウハイスイ</t>
    </rPh>
    <rPh sb="4" eb="6">
      <t>ケイロ</t>
    </rPh>
    <rPh sb="7" eb="9">
      <t>カクニン</t>
    </rPh>
    <rPh sb="9" eb="11">
      <t>イライ</t>
    </rPh>
    <phoneticPr fontId="1"/>
  </si>
  <si>
    <t>愛管株式会社　御中</t>
    <rPh sb="7" eb="9">
      <t>オンチュウ</t>
    </rPh>
    <phoneticPr fontId="1"/>
  </si>
  <si>
    <t>〒438-0002</t>
    <phoneticPr fontId="1"/>
  </si>
  <si>
    <t>静岡県磐田市大久保475番地7</t>
    <rPh sb="3" eb="6">
      <t>イワタシ</t>
    </rPh>
    <rPh sb="6" eb="9">
      <t>オオクボ</t>
    </rPh>
    <rPh sb="12" eb="14">
      <t>バンチ</t>
    </rPh>
    <phoneticPr fontId="1"/>
  </si>
  <si>
    <t>Tel：0538-31-7700</t>
    <phoneticPr fontId="1"/>
  </si>
  <si>
    <t>Fax：0538-31-7701</t>
    <phoneticPr fontId="1"/>
  </si>
  <si>
    <t>キッチン</t>
    <phoneticPr fontId="1"/>
  </si>
  <si>
    <t>カップボード</t>
    <phoneticPr fontId="1"/>
  </si>
  <si>
    <t>ユニットバス</t>
    <phoneticPr fontId="1"/>
  </si>
  <si>
    <t>トイレ①</t>
    <phoneticPr fontId="1"/>
  </si>
  <si>
    <t>洗面①</t>
    <rPh sb="0" eb="2">
      <t>センメン</t>
    </rPh>
    <phoneticPr fontId="1"/>
  </si>
  <si>
    <t>洗面②</t>
    <rPh sb="0" eb="2">
      <t>センメン</t>
    </rPh>
    <phoneticPr fontId="1"/>
  </si>
  <si>
    <t>トイレ②</t>
    <phoneticPr fontId="1"/>
  </si>
  <si>
    <t>予約日時</t>
    <rPh sb="0" eb="2">
      <t>ヨヤク</t>
    </rPh>
    <rPh sb="2" eb="4">
      <t>ニチジ</t>
    </rPh>
    <phoneticPr fontId="1"/>
  </si>
  <si>
    <t>IC担当</t>
    <rPh sb="2" eb="4">
      <t>タントウ</t>
    </rPh>
    <phoneticPr fontId="1"/>
  </si>
  <si>
    <t>IC</t>
    <phoneticPr fontId="1"/>
  </si>
  <si>
    <t>水野</t>
    <rPh sb="0" eb="2">
      <t>ミズノ</t>
    </rPh>
    <phoneticPr fontId="1"/>
  </si>
  <si>
    <t>有吉</t>
    <rPh sb="0" eb="2">
      <t>アリヨシ</t>
    </rPh>
    <phoneticPr fontId="1"/>
  </si>
  <si>
    <t xml:space="preserve">	ariyoshi.i@hakuto-k.jp</t>
    <phoneticPr fontId="1"/>
  </si>
  <si>
    <t>mizuno.m@hakuto-k.jp</t>
    <phoneticPr fontId="1"/>
  </si>
  <si>
    <t>tamami@l-kors.jp</t>
    <phoneticPr fontId="1"/>
  </si>
  <si>
    <t>備考</t>
    <rPh sb="0" eb="2">
      <t>ビコウ</t>
    </rPh>
    <phoneticPr fontId="1"/>
  </si>
  <si>
    <t>Kors　鈴木珠未さん</t>
    <rPh sb="8" eb="9">
      <t>ミ</t>
    </rPh>
    <phoneticPr fontId="1"/>
  </si>
  <si>
    <t>現地(地番)</t>
    <rPh sb="0" eb="2">
      <t>ゲンチ</t>
    </rPh>
    <rPh sb="3" eb="5">
      <t>チバン</t>
    </rPh>
    <phoneticPr fontId="1"/>
  </si>
  <si>
    <t>●設計　入力</t>
    <rPh sb="1" eb="3">
      <t>セッケイ</t>
    </rPh>
    <phoneticPr fontId="1"/>
  </si>
  <si>
    <t>スロップシンク</t>
    <phoneticPr fontId="1"/>
  </si>
  <si>
    <t>　換気計算・ルフロ図　作成依頼</t>
    <rPh sb="1" eb="3">
      <t>カンキ</t>
    </rPh>
    <rPh sb="3" eb="5">
      <t>ケイサン</t>
    </rPh>
    <rPh sb="9" eb="10">
      <t>ズ</t>
    </rPh>
    <rPh sb="11" eb="13">
      <t>サクセイ</t>
    </rPh>
    <rPh sb="13" eb="15">
      <t>イライ</t>
    </rPh>
    <phoneticPr fontId="1"/>
  </si>
  <si>
    <t>　FAX　送信紙</t>
    <rPh sb="5" eb="7">
      <t>ソウシン</t>
    </rPh>
    <rPh sb="7" eb="8">
      <t>カミ</t>
    </rPh>
    <phoneticPr fontId="1"/>
  </si>
  <si>
    <t>階高</t>
    <rPh sb="0" eb="2">
      <t>カイダカ</t>
    </rPh>
    <phoneticPr fontId="1"/>
  </si>
  <si>
    <t>2階建て</t>
    <rPh sb="1" eb="2">
      <t>カイ</t>
    </rPh>
    <rPh sb="2" eb="3">
      <t>ダ</t>
    </rPh>
    <phoneticPr fontId="1"/>
  </si>
  <si>
    <t>平屋</t>
    <rPh sb="0" eb="2">
      <t>ヒラヤ</t>
    </rPh>
    <phoneticPr fontId="1"/>
  </si>
  <si>
    <t>換気フード色</t>
    <rPh sb="0" eb="2">
      <t>カンキ</t>
    </rPh>
    <rPh sb="5" eb="6">
      <t>イロ</t>
    </rPh>
    <phoneticPr fontId="1"/>
  </si>
  <si>
    <t>〒432-8055</t>
  </si>
  <si>
    <t>静岡県浜松市南区卸本町2000-15</t>
  </si>
  <si>
    <t>Tel：053-441-3130</t>
    <phoneticPr fontId="1"/>
  </si>
  <si>
    <t>Fax：053-441-6508</t>
    <phoneticPr fontId="1"/>
  </si>
  <si>
    <t>シルバー</t>
    <phoneticPr fontId="1"/>
  </si>
  <si>
    <t>ブラック</t>
    <phoneticPr fontId="1"/>
  </si>
  <si>
    <t>ホワイト</t>
    <phoneticPr fontId="1"/>
  </si>
  <si>
    <t xml:space="preserve">        【太陽光発電システム見積依頼書】　　</t>
    <rPh sb="9" eb="12">
      <t>タイヨウコウ</t>
    </rPh>
    <rPh sb="12" eb="14">
      <t>ハツデン</t>
    </rPh>
    <rPh sb="18" eb="20">
      <t>ミツモリ</t>
    </rPh>
    <rPh sb="20" eb="23">
      <t>イライショ</t>
    </rPh>
    <phoneticPr fontId="22"/>
  </si>
  <si>
    <t>記入日</t>
    <rPh sb="0" eb="2">
      <t>キニュウ</t>
    </rPh>
    <rPh sb="2" eb="3">
      <t>ビ</t>
    </rPh>
    <phoneticPr fontId="22"/>
  </si>
  <si>
    <t>/　　　　　/</t>
    <phoneticPr fontId="22"/>
  </si>
  <si>
    <t>建築予定住所</t>
    <phoneticPr fontId="22"/>
  </si>
  <si>
    <t>お客様名</t>
    <rPh sb="1" eb="2">
      <t>キャク</t>
    </rPh>
    <rPh sb="2" eb="3">
      <t>サマ</t>
    </rPh>
    <rPh sb="3" eb="4">
      <t>メイ</t>
    </rPh>
    <phoneticPr fontId="22"/>
  </si>
  <si>
    <t>ご家族構成</t>
    <rPh sb="3" eb="5">
      <t>コウセイ</t>
    </rPh>
    <phoneticPr fontId="22"/>
  </si>
  <si>
    <t>備考</t>
    <rPh sb="0" eb="2">
      <t>ビコウ</t>
    </rPh>
    <phoneticPr fontId="22"/>
  </si>
  <si>
    <t>１　基本確認事項</t>
    <rPh sb="2" eb="4">
      <t>キホン</t>
    </rPh>
    <rPh sb="4" eb="6">
      <t>カクニン</t>
    </rPh>
    <rPh sb="6" eb="8">
      <t>ジコウ</t>
    </rPh>
    <phoneticPr fontId="22"/>
  </si>
  <si>
    <t>※□の中にレ点をご記入ください。</t>
    <rPh sb="3" eb="4">
      <t>ナカ</t>
    </rPh>
    <rPh sb="6" eb="7">
      <t>テン</t>
    </rPh>
    <rPh sb="9" eb="11">
      <t>キニュウ</t>
    </rPh>
    <phoneticPr fontId="22"/>
  </si>
  <si>
    <t>※上記にて「いいえ」がある場合</t>
    <rPh sb="1" eb="3">
      <t>ジョウキ</t>
    </rPh>
    <rPh sb="13" eb="15">
      <t>バアイ</t>
    </rPh>
    <phoneticPr fontId="22"/>
  </si>
  <si>
    <t>２　添付図面</t>
    <rPh sb="2" eb="4">
      <t>テンプ</t>
    </rPh>
    <rPh sb="4" eb="6">
      <t>ズメン</t>
    </rPh>
    <phoneticPr fontId="22"/>
  </si>
  <si>
    <t>3　屋根について</t>
    <rPh sb="2" eb="4">
      <t>ヤネ</t>
    </rPh>
    <phoneticPr fontId="22"/>
  </si>
  <si>
    <t>※図面に記載されている場合は□の中にレ点を、記載されていなければ（　）にご記入ください。</t>
  </si>
  <si>
    <t>□野地板（厚さ・種類）（　　　　　　）　□軒・けらば寸法（　　　　　mm）</t>
    <phoneticPr fontId="22"/>
  </si>
  <si>
    <t>4　見積希望プラン</t>
    <rPh sb="2" eb="4">
      <t>ミツモリ</t>
    </rPh>
    <rPh sb="4" eb="6">
      <t>キボウ</t>
    </rPh>
    <phoneticPr fontId="22"/>
  </si>
  <si>
    <t>※□の中にレ点をご記入ください。</t>
    <phoneticPr fontId="22"/>
  </si>
  <si>
    <t>メーカー</t>
    <phoneticPr fontId="22"/>
  </si>
  <si>
    <t>モジュール型番</t>
    <phoneticPr fontId="22"/>
  </si>
  <si>
    <t>見積システム容量</t>
    <rPh sb="0" eb="2">
      <t>ミツモリ</t>
    </rPh>
    <rPh sb="6" eb="8">
      <t>ヨウリョウ</t>
    </rPh>
    <phoneticPr fontId="22"/>
  </si>
  <si>
    <t>最大システム</t>
    <rPh sb="0" eb="2">
      <t>サイダイ</t>
    </rPh>
    <phoneticPr fontId="22"/>
  </si>
  <si>
    <t>希望容量</t>
    <rPh sb="0" eb="2">
      <t>キボウ</t>
    </rPh>
    <rPh sb="2" eb="4">
      <t>ヨウリョウ</t>
    </rPh>
    <phoneticPr fontId="22"/>
  </si>
  <si>
    <t>ｋｗ</t>
    <phoneticPr fontId="22"/>
  </si>
  <si>
    <t>パワコン台数指定</t>
    <rPh sb="4" eb="6">
      <t>ダイスウ</t>
    </rPh>
    <rPh sb="6" eb="8">
      <t>シテイ</t>
    </rPh>
    <phoneticPr fontId="22"/>
  </si>
  <si>
    <t>台</t>
    <rPh sb="0" eb="1">
      <t>ダイ</t>
    </rPh>
    <phoneticPr fontId="22"/>
  </si>
  <si>
    <t>パワコン設置場所指定</t>
    <rPh sb="4" eb="6">
      <t>セッチ</t>
    </rPh>
    <rPh sb="6" eb="8">
      <t>バショ</t>
    </rPh>
    <rPh sb="8" eb="10">
      <t>シテイ</t>
    </rPh>
    <phoneticPr fontId="22"/>
  </si>
  <si>
    <t>蓄電池</t>
    <rPh sb="0" eb="3">
      <t>チクデンチ</t>
    </rPh>
    <phoneticPr fontId="22"/>
  </si>
  <si>
    <t>※上記にて「希望する」場合</t>
    <rPh sb="6" eb="8">
      <t>キボウ</t>
    </rPh>
    <phoneticPr fontId="22"/>
  </si>
  <si>
    <t>電器堂使用欄</t>
    <rPh sb="0" eb="1">
      <t>デン</t>
    </rPh>
    <rPh sb="1" eb="2">
      <t>キ</t>
    </rPh>
    <rPh sb="2" eb="3">
      <t>ドウ</t>
    </rPh>
    <rPh sb="3" eb="5">
      <t>シヨウ</t>
    </rPh>
    <rPh sb="5" eb="6">
      <t>ラン</t>
    </rPh>
    <phoneticPr fontId="22"/>
  </si>
  <si>
    <t>見積り用提出書類確認</t>
    <rPh sb="0" eb="2">
      <t>ミツモリ</t>
    </rPh>
    <rPh sb="3" eb="4">
      <t>ヨウ</t>
    </rPh>
    <rPh sb="4" eb="6">
      <t>テイシュツ</t>
    </rPh>
    <rPh sb="6" eb="8">
      <t>ショルイ</t>
    </rPh>
    <rPh sb="8" eb="10">
      <t>カクニン</t>
    </rPh>
    <phoneticPr fontId="22"/>
  </si>
  <si>
    <t>部署</t>
    <rPh sb="0" eb="2">
      <t>ブショ</t>
    </rPh>
    <phoneticPr fontId="22"/>
  </si>
  <si>
    <t>担当者</t>
    <rPh sb="0" eb="3">
      <t>タントウシャ</t>
    </rPh>
    <phoneticPr fontId="22"/>
  </si>
  <si>
    <t>日付</t>
    <rPh sb="0" eb="2">
      <t>ヒヅケ</t>
    </rPh>
    <phoneticPr fontId="22"/>
  </si>
  <si>
    <t>年　　　　月　　　　日</t>
    <rPh sb="0" eb="1">
      <t>ネン</t>
    </rPh>
    <rPh sb="5" eb="6">
      <t>ゲツ</t>
    </rPh>
    <rPh sb="10" eb="11">
      <t>ニチ</t>
    </rPh>
    <phoneticPr fontId="22"/>
  </si>
  <si>
    <r>
      <t>□本シート　　　□立面図　　　□平面図　　</t>
    </r>
    <r>
      <rPr>
        <sz val="11"/>
        <color rgb="FF000000"/>
        <rFont val="ＭＳ Ｐゴシック"/>
        <family val="3"/>
        <charset val="128"/>
      </rPr>
      <t>（□断面（矩計）図　　□屋根伏せ図　　□配置図）　</t>
    </r>
    <rPh sb="1" eb="2">
      <t>ホン</t>
    </rPh>
    <rPh sb="9" eb="12">
      <t>リツメンズ</t>
    </rPh>
    <rPh sb="16" eb="19">
      <t>ヘイメンズ</t>
    </rPh>
    <phoneticPr fontId="22"/>
  </si>
  <si>
    <t>1．屋根に影ができる障害物がない。</t>
    <rPh sb="2" eb="4">
      <t>ヤネ</t>
    </rPh>
    <rPh sb="5" eb="6">
      <t>カゲ</t>
    </rPh>
    <rPh sb="10" eb="13">
      <t>ショウガイブツ</t>
    </rPh>
    <phoneticPr fontId="22"/>
  </si>
  <si>
    <t>2．海岸から直線距離で1km以上離れている。</t>
    <rPh sb="2" eb="4">
      <t>カイガン</t>
    </rPh>
    <rPh sb="6" eb="8">
      <t>チョクセン</t>
    </rPh>
    <rPh sb="8" eb="10">
      <t>キョリ</t>
    </rPh>
    <rPh sb="14" eb="16">
      <t>イジョウ</t>
    </rPh>
    <rPh sb="16" eb="17">
      <t>ハナ</t>
    </rPh>
    <phoneticPr fontId="22"/>
  </si>
  <si>
    <t>はい</t>
    <phoneticPr fontId="22"/>
  </si>
  <si>
    <t>いいえ</t>
    <phoneticPr fontId="22"/>
  </si>
  <si>
    <t>（※隣接する建物（家屋・電柱・樹木）がお宅の屋根高以上ある場合）</t>
    <phoneticPr fontId="22"/>
  </si>
  <si>
    <t>大人</t>
    <rPh sb="0" eb="2">
      <t>オトナ</t>
    </rPh>
    <phoneticPr fontId="22"/>
  </si>
  <si>
    <t>名</t>
    <rPh sb="0" eb="1">
      <t>メイ</t>
    </rPh>
    <phoneticPr fontId="22"/>
  </si>
  <si>
    <t>子供</t>
    <phoneticPr fontId="22"/>
  </si>
  <si>
    <t>名（わかる範囲で構いません。）</t>
    <phoneticPr fontId="22"/>
  </si>
  <si>
    <r>
      <t>1．影がある場合：　</t>
    </r>
    <r>
      <rPr>
        <u/>
        <sz val="8"/>
        <color rgb="FF000000"/>
        <rFont val="ＭＳ Ｐゴシック"/>
        <family val="3"/>
        <charset val="128"/>
      </rPr>
      <t>障害物の種類(</t>
    </r>
    <rPh sb="2" eb="3">
      <t>カゲ</t>
    </rPh>
    <rPh sb="6" eb="8">
      <t>バアイ</t>
    </rPh>
    <rPh sb="10" eb="13">
      <t>ショウガイブツ</t>
    </rPh>
    <rPh sb="14" eb="16">
      <t>シュルイ</t>
    </rPh>
    <phoneticPr fontId="22"/>
  </si>
  <si>
    <t>)</t>
    <phoneticPr fontId="22"/>
  </si>
  <si>
    <t>障害物の高さ (屋根高よりも約</t>
    <phoneticPr fontId="22"/>
  </si>
  <si>
    <t>M高い位置)</t>
    <phoneticPr fontId="22"/>
  </si>
  <si>
    <t>方角(</t>
    <phoneticPr fontId="22"/>
  </si>
  <si>
    <t>km)　</t>
    <phoneticPr fontId="22"/>
  </si>
  <si>
    <r>
      <t>2．海岸から1km以内の立地の場合：　</t>
    </r>
    <r>
      <rPr>
        <u/>
        <sz val="12"/>
        <color rgb="FF000000"/>
        <rFont val="ＭＳ Ｐゴシック"/>
        <family val="3"/>
        <charset val="128"/>
      </rPr>
      <t>海岸からの直線距離(約</t>
    </r>
    <rPh sb="2" eb="4">
      <t>カイガン</t>
    </rPh>
    <rPh sb="9" eb="11">
      <t>イナイ</t>
    </rPh>
    <rPh sb="12" eb="14">
      <t>リッチ</t>
    </rPh>
    <rPh sb="15" eb="17">
      <t>バアイ</t>
    </rPh>
    <rPh sb="19" eb="21">
      <t>カイガン</t>
    </rPh>
    <rPh sb="24" eb="26">
      <t>チョクセン</t>
    </rPh>
    <rPh sb="26" eb="28">
      <t>キョリ</t>
    </rPh>
    <rPh sb="29" eb="30">
      <t>ヤク</t>
    </rPh>
    <phoneticPr fontId="22"/>
  </si>
  <si>
    <r>
      <rPr>
        <sz val="16"/>
        <color rgb="FF000000"/>
        <rFont val="ＭＳ Ｐゴシック"/>
        <family val="3"/>
        <charset val="128"/>
      </rPr>
      <t>勾配　　</t>
    </r>
    <r>
      <rPr>
        <sz val="10"/>
        <color rgb="FF000000"/>
        <rFont val="ＭＳ Ｐゴシック"/>
        <family val="3"/>
        <charset val="128"/>
      </rPr>
      <t>（　　　寸）　　　　　　　　　　　　</t>
    </r>
    <rPh sb="8" eb="9">
      <t>スン</t>
    </rPh>
    <phoneticPr fontId="22"/>
  </si>
  <si>
    <t>　　　ARRCH様標準　　　　それ以外</t>
    <rPh sb="8" eb="9">
      <t>サマ</t>
    </rPh>
    <rPh sb="9" eb="11">
      <t>ヒョウジュン</t>
    </rPh>
    <rPh sb="17" eb="19">
      <t>イガイ</t>
    </rPh>
    <phoneticPr fontId="22"/>
  </si>
  <si>
    <t>　　Qセルズ　　　その他（　　　　　　）</t>
    <phoneticPr fontId="22"/>
  </si>
  <si>
    <t>屋根材　　　　金属縦葺き　 　　　金属横葺き　　　　　　その他（　　　　　　　）</t>
    <rPh sb="0" eb="2">
      <t>ヤネ</t>
    </rPh>
    <rPh sb="2" eb="3">
      <t>ザイ</t>
    </rPh>
    <rPh sb="7" eb="9">
      <t>キンゾク</t>
    </rPh>
    <rPh sb="9" eb="10">
      <t>タテ</t>
    </rPh>
    <rPh sb="10" eb="11">
      <t>フ</t>
    </rPh>
    <rPh sb="19" eb="20">
      <t>ヨコ</t>
    </rPh>
    <rPh sb="30" eb="31">
      <t>タ</t>
    </rPh>
    <phoneticPr fontId="22"/>
  </si>
  <si>
    <t>　　　立面図　　　　　平面図　　　　（　　断面（矩計）図　　　　　屋根伏せ図）　　　　無し</t>
    <rPh sb="3" eb="6">
      <t>リツメンズ</t>
    </rPh>
    <rPh sb="11" eb="14">
      <t>ヘイメンズ</t>
    </rPh>
    <rPh sb="43" eb="44">
      <t>ナ</t>
    </rPh>
    <phoneticPr fontId="22"/>
  </si>
  <si>
    <t>　　　屋内設置　　　　　屋外設置</t>
    <rPh sb="3" eb="5">
      <t>オクナイ</t>
    </rPh>
    <rPh sb="5" eb="7">
      <t>セッチ</t>
    </rPh>
    <phoneticPr fontId="22"/>
  </si>
  <si>
    <t>希望する　　　　　希望しない</t>
    <rPh sb="0" eb="2">
      <t>キボウ</t>
    </rPh>
    <rPh sb="9" eb="11">
      <t>キボウ</t>
    </rPh>
    <phoneticPr fontId="22"/>
  </si>
  <si>
    <t>　　　特定負荷型　　　　全負荷型</t>
    <rPh sb="3" eb="5">
      <t>トクテイ</t>
    </rPh>
    <rPh sb="5" eb="7">
      <t>フカ</t>
    </rPh>
    <rPh sb="7" eb="8">
      <t>ガタ</t>
    </rPh>
    <rPh sb="12" eb="15">
      <t>ゼンフカ</t>
    </rPh>
    <rPh sb="15" eb="16">
      <t>ガタ</t>
    </rPh>
    <phoneticPr fontId="22"/>
  </si>
  <si>
    <t>TOTO</t>
    <phoneticPr fontId="1"/>
  </si>
  <si>
    <t>ＴＯＴＯ</t>
    <phoneticPr fontId="1"/>
  </si>
  <si>
    <t>）</t>
    <phoneticPr fontId="1"/>
  </si>
  <si>
    <t>その他　（</t>
    <rPh sb="2" eb="3">
      <t>タ</t>
    </rPh>
    <phoneticPr fontId="1"/>
  </si>
  <si>
    <t>　地盤調査依頼</t>
    <rPh sb="1" eb="3">
      <t>ジバン</t>
    </rPh>
    <rPh sb="3" eb="5">
      <t>チョウサ</t>
    </rPh>
    <rPh sb="5" eb="7">
      <t>イライ</t>
    </rPh>
    <phoneticPr fontId="1"/>
  </si>
  <si>
    <t>様</t>
  </si>
  <si>
    <t>様</t>
    <phoneticPr fontId="1"/>
  </si>
  <si>
    <t>川瀬</t>
    <phoneticPr fontId="1"/>
  </si>
  <si>
    <t>様</t>
    <rPh sb="0" eb="1">
      <t>サマ</t>
    </rPh>
    <phoneticPr fontId="1"/>
  </si>
  <si>
    <t>廣瀬</t>
    <phoneticPr fontId="1"/>
  </si>
  <si>
    <t>建設地</t>
    <rPh sb="0" eb="3">
      <t>ケンセツチ</t>
    </rPh>
    <phoneticPr fontId="1"/>
  </si>
  <si>
    <t>※基本　1週間</t>
  </si>
  <si>
    <t>着工予定</t>
    <rPh sb="0" eb="2">
      <t>チャッコウ</t>
    </rPh>
    <rPh sb="2" eb="4">
      <t>ヨテイ</t>
    </rPh>
    <phoneticPr fontId="1"/>
  </si>
  <si>
    <t>竣工予定</t>
    <rPh sb="0" eb="2">
      <t>シュンコウ</t>
    </rPh>
    <rPh sb="2" eb="4">
      <t>ヨテイ</t>
    </rPh>
    <phoneticPr fontId="1"/>
  </si>
  <si>
    <t>平面</t>
    <rPh sb="0" eb="2">
      <t>ヘイメン</t>
    </rPh>
    <phoneticPr fontId="1"/>
  </si>
  <si>
    <t>立面</t>
    <rPh sb="0" eb="2">
      <t>リツメン</t>
    </rPh>
    <phoneticPr fontId="1"/>
  </si>
  <si>
    <t>プレカット図(配管ルート記載)</t>
    <rPh sb="5" eb="6">
      <t>ズ</t>
    </rPh>
    <rPh sb="7" eb="9">
      <t>ハイカン</t>
    </rPh>
    <rPh sb="12" eb="14">
      <t>キサイ</t>
    </rPh>
    <phoneticPr fontId="1"/>
  </si>
  <si>
    <t>添付図面(JW)</t>
    <rPh sb="0" eb="2">
      <t>テンプ</t>
    </rPh>
    <rPh sb="2" eb="4">
      <t>ズメン</t>
    </rPh>
    <phoneticPr fontId="1"/>
  </si>
  <si>
    <t>※申請に必要</t>
    <rPh sb="1" eb="3">
      <t>シンセイ</t>
    </rPh>
    <rPh sb="4" eb="6">
      <t>ヒツヨウ</t>
    </rPh>
    <phoneticPr fontId="1"/>
  </si>
  <si>
    <t>浜岡総合設計事務所　西原　</t>
    <phoneticPr fontId="1"/>
  </si>
  <si>
    <t>4者打合せ日</t>
    <rPh sb="1" eb="2">
      <t>シャ</t>
    </rPh>
    <rPh sb="2" eb="4">
      <t>ウチアワ</t>
    </rPh>
    <rPh sb="5" eb="6">
      <t>ビ</t>
    </rPh>
    <phoneticPr fontId="1"/>
  </si>
  <si>
    <t>※3日前までに、法規・構造・外皮　チェックバック</t>
    <rPh sb="2" eb="4">
      <t>ニチマエ</t>
    </rPh>
    <rPh sb="8" eb="10">
      <t>ホウキ</t>
    </rPh>
    <rPh sb="11" eb="13">
      <t>コウゾウ</t>
    </rPh>
    <rPh sb="14" eb="16">
      <t>ガイヒ</t>
    </rPh>
    <phoneticPr fontId="1"/>
  </si>
  <si>
    <t>ルフロ図予定</t>
    <rPh sb="3" eb="4">
      <t>ズ</t>
    </rPh>
    <rPh sb="4" eb="6">
      <t>ヨテイ</t>
    </rPh>
    <phoneticPr fontId="1"/>
  </si>
  <si>
    <t>　申請依頼</t>
    <rPh sb="1" eb="3">
      <t>シンセイ</t>
    </rPh>
    <rPh sb="3" eb="5">
      <t>イライ</t>
    </rPh>
    <phoneticPr fontId="1"/>
  </si>
  <si>
    <t>長期優良申請予定</t>
    <rPh sb="0" eb="2">
      <t>チョウキ</t>
    </rPh>
    <rPh sb="2" eb="4">
      <t>ユウリョウ</t>
    </rPh>
    <rPh sb="4" eb="6">
      <t>シンセイ</t>
    </rPh>
    <rPh sb="6" eb="8">
      <t>ヨテイ</t>
    </rPh>
    <phoneticPr fontId="1"/>
  </si>
  <si>
    <t>長期申請</t>
    <rPh sb="0" eb="2">
      <t>チョウキ</t>
    </rPh>
    <rPh sb="2" eb="4">
      <t>シンセイ</t>
    </rPh>
    <phoneticPr fontId="1"/>
  </si>
  <si>
    <t>申請図面　日付</t>
    <rPh sb="0" eb="2">
      <t>シンセイ</t>
    </rPh>
    <rPh sb="2" eb="4">
      <t>ズメン</t>
    </rPh>
    <rPh sb="5" eb="7">
      <t>ヒヅケ</t>
    </rPh>
    <phoneticPr fontId="1"/>
  </si>
  <si>
    <t>kato.h@hakuto-k.jp</t>
    <phoneticPr fontId="1"/>
  </si>
  <si>
    <t>〒422-8057</t>
    <phoneticPr fontId="1"/>
  </si>
  <si>
    <t>静岡県静岡市駿河区見瀬239-1　</t>
    <phoneticPr fontId="1"/>
  </si>
  <si>
    <t>Tel：054-292-5488</t>
    <phoneticPr fontId="1"/>
  </si>
  <si>
    <t>Fax：054-292-5490</t>
    <phoneticPr fontId="1"/>
  </si>
  <si>
    <t>報国エンジニアリング株式会社　御中</t>
    <rPh sb="15" eb="17">
      <t>オンチュウ</t>
    </rPh>
    <phoneticPr fontId="1"/>
  </si>
  <si>
    <t>ueda@hokoku-eng.com</t>
    <phoneticPr fontId="1"/>
  </si>
  <si>
    <t>上田</t>
    <rPh sb="0" eb="2">
      <t>ウエダ</t>
    </rPh>
    <phoneticPr fontId="1"/>
  </si>
  <si>
    <t>御中</t>
  </si>
  <si>
    <t>ご担当者</t>
  </si>
  <si>
    <t>■工務</t>
    <rPh sb="1" eb="3">
      <t>コウム</t>
    </rPh>
    <phoneticPr fontId="1"/>
  </si>
  <si>
    <t>■IC</t>
    <phoneticPr fontId="1"/>
  </si>
  <si>
    <t>■申請設計事務所</t>
    <rPh sb="1" eb="3">
      <t>シンセイ</t>
    </rPh>
    <rPh sb="3" eb="5">
      <t>セッケイ</t>
    </rPh>
    <rPh sb="5" eb="7">
      <t>ジム</t>
    </rPh>
    <rPh sb="7" eb="8">
      <t>トコロ</t>
    </rPh>
    <phoneticPr fontId="1"/>
  </si>
  <si>
    <t>　クリナップショールーム　予約確認</t>
    <rPh sb="13" eb="15">
      <t>ヨヤク</t>
    </rPh>
    <rPh sb="15" eb="17">
      <t>カクニン</t>
    </rPh>
    <phoneticPr fontId="1"/>
  </si>
  <si>
    <t>クリナップ</t>
    <phoneticPr fontId="1"/>
  </si>
  <si>
    <t>安井</t>
    <rPh sb="0" eb="2">
      <t>ヤスイ</t>
    </rPh>
    <phoneticPr fontId="1"/>
  </si>
  <si>
    <t>y.yasui@cleanup.jp</t>
    <phoneticPr fontId="1"/>
  </si>
  <si>
    <t>〒435-0017</t>
    <phoneticPr fontId="1"/>
  </si>
  <si>
    <t>静岡県浜松市東区薬師町79-2</t>
    <rPh sb="8" eb="10">
      <t>ヤクシ</t>
    </rPh>
    <rPh sb="10" eb="11">
      <t>チョウ</t>
    </rPh>
    <phoneticPr fontId="1"/>
  </si>
  <si>
    <t>Tel：053-423-0180</t>
    <phoneticPr fontId="1"/>
  </si>
  <si>
    <t>Fax：053-423-0181</t>
    <phoneticPr fontId="1"/>
  </si>
  <si>
    <r>
      <rPr>
        <sz val="6"/>
        <color rgb="FF000000"/>
        <rFont val="HG丸ｺﾞｼｯｸM-PRO"/>
        <family val="3"/>
        <charset val="128"/>
      </rPr>
      <t>携帯</t>
    </r>
    <r>
      <rPr>
        <sz val="8"/>
        <color rgb="FF000000"/>
        <rFont val="HG丸ｺﾞｼｯｸM-PRO"/>
        <family val="3"/>
        <charset val="128"/>
      </rPr>
      <t>：090-3516-9504</t>
    </r>
    <rPh sb="0" eb="2">
      <t>ケイタイ</t>
    </rPh>
    <phoneticPr fontId="1"/>
  </si>
  <si>
    <t>クリナップ</t>
  </si>
  <si>
    <t>hakuto8910</t>
  </si>
  <si>
    <t>ステディア</t>
    <phoneticPr fontId="1"/>
  </si>
  <si>
    <t>TOTOも検討</t>
    <rPh sb="5" eb="7">
      <t>ケントウ</t>
    </rPh>
    <phoneticPr fontId="1"/>
  </si>
  <si>
    <t>TOTOも検討</t>
    <phoneticPr fontId="1"/>
  </si>
  <si>
    <t>造作</t>
    <phoneticPr fontId="1"/>
  </si>
  <si>
    <t>造作</t>
  </si>
  <si>
    <t>備考</t>
    <phoneticPr fontId="1"/>
  </si>
  <si>
    <t>予約番号　</t>
  </si>
  <si>
    <t>パス</t>
    <phoneticPr fontId="1"/>
  </si>
  <si>
    <t>ＩＤ</t>
    <phoneticPr fontId="1"/>
  </si>
  <si>
    <t>宛にお願い致します。</t>
  </si>
  <si>
    <t>見積り、プランについては、</t>
    <rPh sb="0" eb="2">
      <t>ミツモ</t>
    </rPh>
    <phoneticPr fontId="1"/>
  </si>
  <si>
    <t>※予約はネットにて予約する</t>
    <rPh sb="1" eb="3">
      <t>ヨヤク</t>
    </rPh>
    <rPh sb="9" eb="11">
      <t>ヨヤク</t>
    </rPh>
    <phoneticPr fontId="1"/>
  </si>
  <si>
    <t>備考</t>
  </si>
  <si>
    <t>■アドバイザー</t>
    <phoneticPr fontId="1"/>
  </si>
  <si>
    <t>hakuto.t@hakuto-k.jp</t>
    <phoneticPr fontId="1"/>
  </si>
  <si>
    <t>白都</t>
    <rPh sb="0" eb="2">
      <t>ハクト</t>
    </rPh>
    <phoneticPr fontId="1"/>
  </si>
  <si>
    <t>鵜飼</t>
    <phoneticPr fontId="1"/>
  </si>
  <si>
    <t>田中</t>
    <phoneticPr fontId="1"/>
  </si>
  <si>
    <t>●アドバイザー　入力　　　　　　　担当</t>
    <phoneticPr fontId="1"/>
  </si>
  <si>
    <t>調査結果については、上記　設計、現場、営業担当　まで　メールお願い致します。</t>
    <rPh sb="0" eb="2">
      <t>チョウサ</t>
    </rPh>
    <rPh sb="2" eb="4">
      <t>ケッカ</t>
    </rPh>
    <rPh sb="10" eb="12">
      <t>ジョウキ</t>
    </rPh>
    <rPh sb="13" eb="15">
      <t>セッケイ</t>
    </rPh>
    <rPh sb="16" eb="18">
      <t>ゲンバ</t>
    </rPh>
    <rPh sb="19" eb="21">
      <t>エイギョウ</t>
    </rPh>
    <rPh sb="21" eb="23">
      <t>タントウ</t>
    </rPh>
    <rPh sb="31" eb="32">
      <t>ネガイ</t>
    </rPh>
    <rPh sb="33" eb="34">
      <t>タ</t>
    </rPh>
    <phoneticPr fontId="1"/>
  </si>
  <si>
    <t>営業担当</t>
    <phoneticPr fontId="1"/>
  </si>
  <si>
    <t>〒438-0111</t>
    <phoneticPr fontId="1"/>
  </si>
  <si>
    <t>現地</t>
    <rPh sb="0" eb="2">
      <t>ゲンチ</t>
    </rPh>
    <phoneticPr fontId="1"/>
  </si>
  <si>
    <t>屋根葺材</t>
    <rPh sb="0" eb="2">
      <t>ヤネ</t>
    </rPh>
    <rPh sb="2" eb="3">
      <t>フ</t>
    </rPh>
    <rPh sb="3" eb="4">
      <t>ザイ</t>
    </rPh>
    <phoneticPr fontId="1"/>
  </si>
  <si>
    <t>ガルバニウム鋼板</t>
    <rPh sb="6" eb="8">
      <t>コウハン</t>
    </rPh>
    <phoneticPr fontId="1"/>
  </si>
  <si>
    <t>屋根勾配</t>
    <rPh sb="0" eb="2">
      <t>ヤネ</t>
    </rPh>
    <rPh sb="2" eb="4">
      <t>コウバイ</t>
    </rPh>
    <phoneticPr fontId="1"/>
  </si>
  <si>
    <t>2.0寸</t>
    <rPh sb="3" eb="4">
      <t>スン</t>
    </rPh>
    <phoneticPr fontId="1"/>
  </si>
  <si>
    <t>構造計算</t>
    <rPh sb="0" eb="2">
      <t>コウゾウ</t>
    </rPh>
    <rPh sb="2" eb="4">
      <t>ケイサン</t>
    </rPh>
    <phoneticPr fontId="1"/>
  </si>
  <si>
    <t>さん</t>
    <phoneticPr fontId="1"/>
  </si>
  <si>
    <t>プレカット図面については、</t>
    <rPh sb="5" eb="7">
      <t>ズメン</t>
    </rPh>
    <phoneticPr fontId="1"/>
  </si>
  <si>
    <t>上記　設計、現場担当、申請担当、構造担当　まで　メールお願い致します。</t>
    <rPh sb="11" eb="13">
      <t>シンセイ</t>
    </rPh>
    <rPh sb="13" eb="15">
      <t>タントウ</t>
    </rPh>
    <rPh sb="16" eb="18">
      <t>コウゾウ</t>
    </rPh>
    <rPh sb="18" eb="20">
      <t>タントウ</t>
    </rPh>
    <phoneticPr fontId="1"/>
  </si>
  <si>
    <t>依頼日</t>
  </si>
  <si>
    <t>※4者打合せ後　図面送る際に指定させていただきます。</t>
  </si>
  <si>
    <t>現住所</t>
    <rPh sb="0" eb="3">
      <t>ゲンジュウショ</t>
    </rPh>
    <phoneticPr fontId="1"/>
  </si>
  <si>
    <t>電話番号</t>
    <rPh sb="0" eb="4">
      <t>デンワバンゴウ</t>
    </rPh>
    <phoneticPr fontId="1"/>
  </si>
  <si>
    <t>ﾌﾘｶﾞﾅ</t>
    <phoneticPr fontId="1"/>
  </si>
  <si>
    <t>○○　○○</t>
    <phoneticPr fontId="1"/>
  </si>
  <si>
    <t>▼▼▼▼▼▼▼▼▼▼▼▼</t>
    <phoneticPr fontId="1"/>
  </si>
  <si>
    <t>※連名の場合は、連名者も記載</t>
    <phoneticPr fontId="1"/>
  </si>
  <si>
    <t>電話</t>
    <rPh sb="0" eb="2">
      <t>デンワ</t>
    </rPh>
    <phoneticPr fontId="1"/>
  </si>
  <si>
    <t>●/×</t>
    <phoneticPr fontId="1"/>
  </si>
  <si>
    <t>終了済み</t>
    <rPh sb="0" eb="2">
      <t>シュウリョウ</t>
    </rPh>
    <rPh sb="2" eb="3">
      <t>ズ</t>
    </rPh>
    <phoneticPr fontId="1"/>
  </si>
  <si>
    <t>打合せ</t>
    <rPh sb="0" eb="2">
      <t>ウチアワ</t>
    </rPh>
    <phoneticPr fontId="1"/>
  </si>
  <si>
    <t>プレカット図面の納品日については、最短で来そうな日程分かりましたら</t>
    <rPh sb="5" eb="7">
      <t>ズメン</t>
    </rPh>
    <rPh sb="8" eb="10">
      <t>ノウヒン</t>
    </rPh>
    <rPh sb="10" eb="11">
      <t>ビ</t>
    </rPh>
    <rPh sb="17" eb="19">
      <t>サイタン</t>
    </rPh>
    <rPh sb="20" eb="21">
      <t>キ</t>
    </rPh>
    <rPh sb="24" eb="26">
      <t>ニッテイ</t>
    </rPh>
    <rPh sb="26" eb="27">
      <t>ワ</t>
    </rPh>
    <phoneticPr fontId="1"/>
  </si>
  <si>
    <t>教えていただきたいです。　(メールで大丈夫です。)</t>
    <rPh sb="0" eb="1">
      <t>オシ</t>
    </rPh>
    <rPh sb="18" eb="21">
      <t>ダイジョウブ</t>
    </rPh>
    <phoneticPr fontId="1"/>
  </si>
  <si>
    <t>2021/4/12</t>
    <phoneticPr fontId="1"/>
  </si>
  <si>
    <t>ハイビック株式会社　御中</t>
  </si>
  <si>
    <t>携帯：080-5705-1616</t>
    <rPh sb="0" eb="2">
      <t>ケイタイ</t>
    </rPh>
    <phoneticPr fontId="1"/>
  </si>
  <si>
    <t>南海プライウッド</t>
    <rPh sb="0" eb="2">
      <t>ナンカイ</t>
    </rPh>
    <phoneticPr fontId="1"/>
  </si>
  <si>
    <t>いつもお世話になっております。</t>
    <rPh sb="4" eb="6">
      <t>セワ</t>
    </rPh>
    <phoneticPr fontId="1"/>
  </si>
  <si>
    <t>送付先：静岡県浜松市中区鴨江3丁目70番23号</t>
    <rPh sb="0" eb="3">
      <t>ソウフサキ</t>
    </rPh>
    <rPh sb="4" eb="7">
      <t>シズオカケン</t>
    </rPh>
    <phoneticPr fontId="1"/>
  </si>
  <si>
    <t>よろしくお願いします。</t>
  </si>
  <si>
    <t>432-8023</t>
    <phoneticPr fontId="1"/>
  </si>
  <si>
    <t>052-218-3187</t>
  </si>
  <si>
    <t>(052)504-1550</t>
  </si>
  <si>
    <t>総合カタログ   </t>
    <phoneticPr fontId="1"/>
  </si>
  <si>
    <t>よろしくお願いいたします。</t>
  </si>
  <si>
    <t>カタログ依頼をさせていただきます。</t>
  </si>
  <si>
    <t>〒432-8023</t>
    <phoneticPr fontId="1"/>
  </si>
  <si>
    <t>Tel：053-488-8910</t>
    <phoneticPr fontId="1"/>
  </si>
  <si>
    <t>Fax：053-488-8911</t>
    <phoneticPr fontId="1"/>
  </si>
  <si>
    <t>大塚</t>
    <rPh sb="0" eb="2">
      <t>オオツカ</t>
    </rPh>
    <phoneticPr fontId="1"/>
  </si>
  <si>
    <r>
      <rPr>
        <sz val="6"/>
        <color theme="1"/>
        <rFont val="HG丸ｺﾞｼｯｸM-PRO"/>
        <family val="3"/>
        <charset val="128"/>
      </rPr>
      <t>携帯</t>
    </r>
    <r>
      <rPr>
        <sz val="8"/>
        <color theme="1"/>
        <rFont val="HG丸ｺﾞｼｯｸM-PRO"/>
        <family val="3"/>
        <charset val="128"/>
      </rPr>
      <t>：080-4535-4226</t>
    </r>
    <rPh sb="0" eb="2">
      <t>ケイタイ</t>
    </rPh>
    <phoneticPr fontId="1"/>
  </si>
  <si>
    <t>防火指定あり</t>
    <phoneticPr fontId="1"/>
  </si>
  <si>
    <t>防火指定無し</t>
    <rPh sb="4" eb="5">
      <t>ナ</t>
    </rPh>
    <phoneticPr fontId="1"/>
  </si>
  <si>
    <t>otsukan@denkido.jp</t>
    <phoneticPr fontId="1"/>
  </si>
  <si>
    <t>石澤</t>
    <phoneticPr fontId="1"/>
  </si>
  <si>
    <t>株式会社LIFEFUND　ARRCH</t>
    <phoneticPr fontId="1"/>
  </si>
  <si>
    <t xml:space="preserve">	ishizawa.m@hakuto-k.jp</t>
    <phoneticPr fontId="1"/>
  </si>
  <si>
    <t>定村</t>
    <rPh sb="0" eb="2">
      <t>サダムラ</t>
    </rPh>
    <phoneticPr fontId="1"/>
  </si>
  <si>
    <t xml:space="preserve">	sadamura.n@hakuto-k.jp</t>
    <phoneticPr fontId="1"/>
  </si>
  <si>
    <t>長谷</t>
    <rPh sb="0" eb="2">
      <t>ハセ</t>
    </rPh>
    <phoneticPr fontId="1"/>
  </si>
  <si>
    <t>i-kan.hakuto@i-kan.co.jp</t>
    <phoneticPr fontId="1"/>
  </si>
  <si>
    <r>
      <rPr>
        <sz val="6"/>
        <color theme="1"/>
        <rFont val="HG丸ｺﾞｼｯｸM-PRO"/>
        <family val="3"/>
        <charset val="128"/>
      </rPr>
      <t>携帯</t>
    </r>
    <r>
      <rPr>
        <sz val="8"/>
        <color theme="1"/>
        <rFont val="HG丸ｺﾞｼｯｸM-PRO"/>
        <family val="3"/>
        <charset val="128"/>
      </rPr>
      <t>：080-6974-8911</t>
    </r>
    <rPh sb="0" eb="2">
      <t>ケイタイ</t>
    </rPh>
    <phoneticPr fontId="1"/>
  </si>
  <si>
    <t>森下　</t>
    <phoneticPr fontId="1"/>
  </si>
  <si>
    <t>藤原</t>
  </si>
  <si>
    <t>青島</t>
  </si>
  <si>
    <t>株式会社LIFEFUND　ARRCH　担当者</t>
    <rPh sb="0" eb="4">
      <t>カブシキガイシャ</t>
    </rPh>
    <rPh sb="19" eb="22">
      <t>タントウシャ</t>
    </rPh>
    <phoneticPr fontId="22"/>
  </si>
  <si>
    <t>安藤</t>
    <rPh sb="0" eb="2">
      <t>アンドウ</t>
    </rPh>
    <phoneticPr fontId="1"/>
  </si>
  <si>
    <t>ando-m@njkk.co.jp</t>
    <phoneticPr fontId="1"/>
  </si>
  <si>
    <t>(株)電器堂　パートナー開発　御中</t>
    <rPh sb="1" eb="2">
      <t>カブ</t>
    </rPh>
    <rPh sb="15" eb="17">
      <t>オンチュウ</t>
    </rPh>
    <phoneticPr fontId="1"/>
  </si>
  <si>
    <t>日本住環境(株)　御中</t>
    <rPh sb="0" eb="2">
      <t>ニホン</t>
    </rPh>
    <rPh sb="2" eb="5">
      <t>ジュウカンキョウ</t>
    </rPh>
    <rPh sb="5" eb="8">
      <t>カブ</t>
    </rPh>
    <rPh sb="9" eb="11">
      <t>オンチュウ</t>
    </rPh>
    <phoneticPr fontId="1"/>
  </si>
  <si>
    <t>2023/4/27</t>
    <phoneticPr fontId="1"/>
  </si>
  <si>
    <t>大峰</t>
    <phoneticPr fontId="1"/>
  </si>
  <si>
    <t>寺田</t>
    <phoneticPr fontId="1"/>
  </si>
  <si>
    <t>松田</t>
    <phoneticPr fontId="1"/>
  </si>
  <si>
    <t>山本</t>
    <phoneticPr fontId="1"/>
  </si>
  <si>
    <t>倉本</t>
    <phoneticPr fontId="1"/>
  </si>
  <si>
    <t>髙橋</t>
    <phoneticPr fontId="1"/>
  </si>
  <si>
    <t>野尻</t>
    <phoneticPr fontId="1"/>
  </si>
  <si>
    <t>小林</t>
    <phoneticPr fontId="1"/>
  </si>
  <si>
    <t>ukai.r@hakuto-k.jp</t>
  </si>
  <si>
    <t>tanaka.k@hakuto-k.jp</t>
  </si>
  <si>
    <t>omine.y@hakuto-k.jp</t>
  </si>
  <si>
    <t>terada.y@hakuto-k.jp</t>
  </si>
  <si>
    <t>matsuda.m@hakuto-k.jp</t>
  </si>
  <si>
    <t>kuramoto.n@hakuto-k.jp</t>
  </si>
  <si>
    <t>永井</t>
    <phoneticPr fontId="1"/>
  </si>
  <si>
    <t>三山</t>
    <phoneticPr fontId="1"/>
  </si>
  <si>
    <t>橋本</t>
    <phoneticPr fontId="1"/>
  </si>
  <si>
    <t>平澤</t>
    <phoneticPr fontId="1"/>
  </si>
  <si>
    <t>yamamoto.k@hakuto-k.jp</t>
    <phoneticPr fontId="1"/>
  </si>
  <si>
    <t>takahashi.n@hakuto-k.jp</t>
    <phoneticPr fontId="1"/>
  </si>
  <si>
    <t>nojiri.t@hakuto-k.jp</t>
    <phoneticPr fontId="1"/>
  </si>
  <si>
    <t>nagai.s@hakuto-k.jp</t>
    <phoneticPr fontId="1"/>
  </si>
  <si>
    <t>kobayashi.n@hakuto-k.jp</t>
    <phoneticPr fontId="1"/>
  </si>
  <si>
    <t>hashimoto.k@hakuto-k.jp</t>
    <phoneticPr fontId="1"/>
  </si>
  <si>
    <t>hirasawa.a@hakuto-k.jp</t>
    <phoneticPr fontId="1"/>
  </si>
  <si>
    <t>品岡</t>
  </si>
  <si>
    <t>加藤</t>
    <phoneticPr fontId="1"/>
  </si>
  <si>
    <t>小池</t>
    <phoneticPr fontId="1"/>
  </si>
  <si>
    <t>岡田</t>
    <phoneticPr fontId="1"/>
  </si>
  <si>
    <t>松下</t>
    <phoneticPr fontId="1"/>
  </si>
  <si>
    <t>川原</t>
    <phoneticPr fontId="1"/>
  </si>
  <si>
    <t>釜</t>
    <rPh sb="0" eb="1">
      <t>カマ</t>
    </rPh>
    <phoneticPr fontId="1"/>
  </si>
  <si>
    <t>morishita.s@hakuto-k.jp</t>
    <phoneticPr fontId="1"/>
  </si>
  <si>
    <t>shinaoka.m@hakuto-k.jp</t>
    <phoneticPr fontId="1"/>
  </si>
  <si>
    <t>fujiwara.r@hakuto-k.jp</t>
    <phoneticPr fontId="1"/>
  </si>
  <si>
    <t>koike.n@hakuto-k.jp</t>
    <phoneticPr fontId="1"/>
  </si>
  <si>
    <t>okada.m@hakuto-k.jp</t>
    <phoneticPr fontId="1"/>
  </si>
  <si>
    <t>matsushita.y@hakuto-k.jp</t>
    <phoneticPr fontId="1"/>
  </si>
  <si>
    <t>kawahara.k@hakuto-k.jp</t>
    <phoneticPr fontId="1"/>
  </si>
  <si>
    <t>kama.m@hakuto-k.jp</t>
    <phoneticPr fontId="1"/>
  </si>
  <si>
    <t>Tel：053-488-8910、Fax：053-488-8911</t>
    <phoneticPr fontId="1"/>
  </si>
  <si>
    <t>株式会社 丸八　御中</t>
    <rPh sb="5" eb="7">
      <t>マルハチ</t>
    </rPh>
    <rPh sb="8" eb="10">
      <t>オンチュウ</t>
    </rPh>
    <phoneticPr fontId="1"/>
  </si>
  <si>
    <t>鈴木　様</t>
    <rPh sb="0" eb="2">
      <t>スズキ</t>
    </rPh>
    <rPh sb="3" eb="4">
      <t>サマ</t>
    </rPh>
    <phoneticPr fontId="1"/>
  </si>
  <si>
    <t>yuya-suzuki@maruhachi.info</t>
    <phoneticPr fontId="1"/>
  </si>
  <si>
    <t>〒436-0038</t>
    <phoneticPr fontId="1"/>
  </si>
  <si>
    <t>株式会社 スカイ　御中</t>
    <rPh sb="9" eb="11">
      <t>オンチュウ</t>
    </rPh>
    <phoneticPr fontId="1"/>
  </si>
  <si>
    <t>静岡県掛川市領家1583-1</t>
    <rPh sb="3" eb="6">
      <t>カケガワシ</t>
    </rPh>
    <rPh sb="6" eb="7">
      <t>リョウ</t>
    </rPh>
    <rPh sb="7" eb="8">
      <t>イエ</t>
    </rPh>
    <phoneticPr fontId="1"/>
  </si>
  <si>
    <t>Tel：0537-22-1919</t>
    <phoneticPr fontId="1"/>
  </si>
  <si>
    <t>Fax：0537-22-1978</t>
    <phoneticPr fontId="1"/>
  </si>
  <si>
    <t>静岡県磐田市上野部505-15</t>
    <rPh sb="0" eb="3">
      <t>シズオカケン</t>
    </rPh>
    <rPh sb="3" eb="6">
      <t>イワタシ</t>
    </rPh>
    <rPh sb="6" eb="8">
      <t>ウエノ</t>
    </rPh>
    <rPh sb="8" eb="9">
      <t>ブ</t>
    </rPh>
    <phoneticPr fontId="1"/>
  </si>
  <si>
    <t>携帯：080-8260-4690</t>
    <rPh sb="0" eb="2">
      <t>ケイタイ</t>
    </rPh>
    <phoneticPr fontId="1"/>
  </si>
  <si>
    <t>依頼先</t>
    <rPh sb="0" eb="2">
      <t>イライ</t>
    </rPh>
    <rPh sb="2" eb="3">
      <t>サキ</t>
    </rPh>
    <phoneticPr fontId="1"/>
  </si>
  <si>
    <t>Tel：0539-62-1077</t>
    <phoneticPr fontId="1"/>
  </si>
  <si>
    <t>Fax：053962-1078</t>
    <phoneticPr fontId="1"/>
  </si>
  <si>
    <t>カーザ建築設計室　橋本</t>
    <rPh sb="3" eb="5">
      <t>ケンチク</t>
    </rPh>
    <rPh sb="5" eb="7">
      <t>セッケイ</t>
    </rPh>
    <rPh sb="7" eb="8">
      <t>シツ</t>
    </rPh>
    <rPh sb="9" eb="11">
      <t>ハシモト</t>
    </rPh>
    <phoneticPr fontId="1"/>
  </si>
  <si>
    <t>090-1473-1029</t>
    <phoneticPr fontId="1"/>
  </si>
  <si>
    <t>090-7034-9867</t>
    <phoneticPr fontId="1"/>
  </si>
  <si>
    <t>〇〇〇〇〇〇〇〇　</t>
    <phoneticPr fontId="1"/>
  </si>
  <si>
    <t>株式会社LIFEFUND　ARRCH　石澤　宛</t>
    <rPh sb="19" eb="21">
      <t>イシザワ</t>
    </rPh>
    <rPh sb="22" eb="23">
      <t>アテ</t>
    </rPh>
    <phoneticPr fontId="1"/>
  </si>
  <si>
    <t>部</t>
    <rPh sb="0" eb="1">
      <t>ブ</t>
    </rPh>
    <phoneticPr fontId="1"/>
  </si>
  <si>
    <t>○</t>
    <phoneticPr fontId="1"/>
  </si>
  <si>
    <t>大久保</t>
    <rPh sb="0" eb="3">
      <t>オオクボ</t>
    </rPh>
    <phoneticPr fontId="1"/>
  </si>
  <si>
    <t>静岡県浜松市浜北区宮口2461　</t>
    <phoneticPr fontId="1"/>
  </si>
  <si>
    <t>〒434-0004</t>
    <phoneticPr fontId="1"/>
  </si>
  <si>
    <t>Tel：053-580-1185</t>
    <phoneticPr fontId="1"/>
  </si>
  <si>
    <t>Fax：053-582-3719</t>
    <phoneticPr fontId="1"/>
  </si>
  <si>
    <t>携帯：070-1295-6433</t>
    <rPh sb="0" eb="2">
      <t>ケイタイ</t>
    </rPh>
    <phoneticPr fontId="1"/>
  </si>
  <si>
    <t>a.okubo@hivic.co.jp</t>
    <phoneticPr fontId="1"/>
  </si>
  <si>
    <t>岡村　様</t>
    <rPh sb="0" eb="2">
      <t>オカムラ</t>
    </rPh>
    <rPh sb="3" eb="4">
      <t>サマ</t>
    </rPh>
    <phoneticPr fontId="1"/>
  </si>
  <si>
    <t>okamura.yuuta@sky-jp.com</t>
    <phoneticPr fontId="1"/>
  </si>
  <si>
    <t>携帯：070-2248-8081</t>
    <rPh sb="0" eb="2">
      <t>ケイタイ</t>
    </rPh>
    <phoneticPr fontId="1"/>
  </si>
  <si>
    <t>静岡県浜松市中央区鴨江3丁目70番23号</t>
    <rPh sb="7" eb="8">
      <t>オウ</t>
    </rPh>
    <phoneticPr fontId="1"/>
  </si>
  <si>
    <t>　LIXILショールーム　予約確認</t>
    <rPh sb="13" eb="15">
      <t>ヨヤク</t>
    </rPh>
    <rPh sb="15" eb="17">
      <t>カクニン</t>
    </rPh>
    <phoneticPr fontId="1"/>
  </si>
  <si>
    <t>㈱LIXIL　　御中</t>
    <rPh sb="8" eb="10">
      <t>オンチュウ</t>
    </rPh>
    <phoneticPr fontId="1"/>
  </si>
  <si>
    <t>粟野</t>
    <rPh sb="0" eb="2">
      <t>アワノ</t>
    </rPh>
    <phoneticPr fontId="1"/>
  </si>
  <si>
    <t>tomohito.awano@lixil.com</t>
  </si>
  <si>
    <t>〒435-0016</t>
    <phoneticPr fontId="1"/>
  </si>
  <si>
    <t>静岡県浜松市東区和田町660-6</t>
    <phoneticPr fontId="1"/>
  </si>
  <si>
    <t>Tel：053-411-1666</t>
    <phoneticPr fontId="1"/>
  </si>
  <si>
    <t>Fax：053-411-1667</t>
    <phoneticPr fontId="1"/>
  </si>
  <si>
    <t>■基本設計担当</t>
    <rPh sb="1" eb="3">
      <t>キホン</t>
    </rPh>
    <rPh sb="3" eb="5">
      <t>セッケイ</t>
    </rPh>
    <rPh sb="5" eb="7">
      <t>タントウ</t>
    </rPh>
    <phoneticPr fontId="1"/>
  </si>
  <si>
    <t>倉田</t>
    <rPh sb="0" eb="2">
      <t>クラタ</t>
    </rPh>
    <phoneticPr fontId="1"/>
  </si>
  <si>
    <t>■詳細設計担当</t>
    <rPh sb="1" eb="3">
      <t>ショウサイ</t>
    </rPh>
    <rPh sb="3" eb="5">
      <t>セッケイ</t>
    </rPh>
    <rPh sb="5" eb="7">
      <t>タントウ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</si>
  <si>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</si>
  <si>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</si>
  <si>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</si>
  <si>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</si>
  <si>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営業担当</t>
    <rPh sb="0" eb="4">
      <t>エイギョウタントウ</t>
    </rPh>
    <phoneticPr fontId="1"/>
  </si>
  <si>
    <t>ES</t>
    <phoneticPr fontId="1"/>
  </si>
  <si>
    <t>ペニンシュラ</t>
    <phoneticPr fontId="1"/>
  </si>
  <si>
    <t>LIXIL</t>
    <phoneticPr fontId="1"/>
  </si>
  <si>
    <t>持ち込み</t>
    <rPh sb="0" eb="1">
      <t>モ</t>
    </rPh>
    <rPh sb="2" eb="3">
      <t>コ</t>
    </rPh>
    <phoneticPr fontId="1"/>
  </si>
  <si>
    <t>浜岡総合設計事務所　西原　</t>
  </si>
  <si>
    <t xml:space="preserve">	kurata.tu@hakuto-k.jp</t>
    <phoneticPr fontId="1"/>
  </si>
  <si>
    <t>LIXIL予約</t>
    <rPh sb="5" eb="7">
      <t>ヨヤク</t>
    </rPh>
    <phoneticPr fontId="1"/>
  </si>
  <si>
    <t>ハーモJ</t>
    <phoneticPr fontId="1"/>
  </si>
  <si>
    <t>ベーシア手洗ﾀﾝｸ</t>
    <rPh sb="4" eb="6">
      <t>テアラ</t>
    </rPh>
    <phoneticPr fontId="1"/>
  </si>
  <si>
    <t>未定</t>
    <rPh sb="0" eb="2">
      <t>ミテイ</t>
    </rPh>
    <phoneticPr fontId="1"/>
  </si>
  <si>
    <t>?</t>
    <phoneticPr fontId="22"/>
  </si>
  <si>
    <t>現在子供はいない　将来２人予定</t>
    <rPh sb="0" eb="2">
      <t>ゲンザイ</t>
    </rPh>
    <rPh sb="2" eb="4">
      <t>コドモ</t>
    </rPh>
    <rPh sb="9" eb="11">
      <t>ショウライ</t>
    </rPh>
    <rPh sb="12" eb="13">
      <t>ヒト</t>
    </rPh>
    <rPh sb="13" eb="15">
      <t>ヨテイ</t>
    </rPh>
    <phoneticPr fontId="22"/>
  </si>
  <si>
    <t>0.5寸　</t>
    <rPh sb="3" eb="4">
      <t>スン</t>
    </rPh>
    <phoneticPr fontId="1"/>
  </si>
  <si>
    <t>2024/3/9</t>
    <phoneticPr fontId="1"/>
  </si>
  <si>
    <t>2024/3/18</t>
    <phoneticPr fontId="1"/>
  </si>
  <si>
    <t>モデルにつきSR見学なし</t>
    <rPh sb="8" eb="10">
      <t>ケンガク</t>
    </rPh>
    <phoneticPr fontId="1"/>
  </si>
  <si>
    <t>■敷地調査6/28※確定予定</t>
  </si>
  <si>
    <t>■敷地調査報告書7/6※確定予定</t>
  </si>
  <si>
    <t>■基本設計完了7/10</t>
  </si>
  <si>
    <t>■平面詳細、基礎図完了7/20</t>
  </si>
  <si>
    <t>■プレカット図完了8/5</t>
  </si>
  <si>
    <t>■詳細設計＆構造計算完了8/15</t>
  </si>
  <si>
    <t>■確認申請＆長期優良住宅申請完了8/25</t>
  </si>
  <si>
    <t>■着工予定日9/3（最短）</t>
  </si>
  <si>
    <t>事前申請</t>
    <rPh sb="0" eb="2">
      <t>ジゼン</t>
    </rPh>
    <rPh sb="2" eb="4">
      <t>シンセイ</t>
    </rPh>
    <phoneticPr fontId="1"/>
  </si>
  <si>
    <r>
      <rPr>
        <sz val="11"/>
        <color rgb="FF242424"/>
        <rFont val="Segoe UI Symbol"/>
        <family val="2"/>
      </rPr>
      <t>■</t>
    </r>
    <r>
      <rPr>
        <sz val="11"/>
        <color rgb="FF242424"/>
        <rFont val="ＭＳ ゴシック"/>
        <family val="3"/>
        <charset val="128"/>
      </rPr>
      <t>都市計</t>
    </r>
    <r>
      <rPr>
        <sz val="11"/>
        <color rgb="FF242424"/>
        <rFont val="Segoe UI"/>
        <family val="2"/>
      </rPr>
      <t>60</t>
    </r>
    <r>
      <rPr>
        <sz val="11"/>
        <color rgb="FF242424"/>
        <rFont val="ＭＳ ゴシック"/>
        <family val="3"/>
        <charset val="128"/>
      </rPr>
      <t>条申請日</t>
    </r>
    <r>
      <rPr>
        <sz val="11"/>
        <color rgb="FF242424"/>
        <rFont val="Segoe UI"/>
        <family val="2"/>
      </rPr>
      <t>8/5</t>
    </r>
    <rPh sb="3" eb="4">
      <t>ケイ</t>
    </rPh>
    <phoneticPr fontId="1"/>
  </si>
  <si>
    <t>未確定↓↓↓</t>
    <rPh sb="0" eb="3">
      <t>ミカクテイ</t>
    </rPh>
    <phoneticPr fontId="1"/>
  </si>
  <si>
    <t>かつ土地決済の１０日後が着工目安</t>
    <rPh sb="2" eb="4">
      <t>トチ</t>
    </rPh>
    <phoneticPr fontId="1"/>
  </si>
  <si>
    <r>
      <t>PG</t>
    </r>
    <r>
      <rPr>
        <sz val="11"/>
        <color rgb="FF242424"/>
        <rFont val="ＭＳ ゴシック"/>
        <family val="3"/>
        <charset val="128"/>
      </rPr>
      <t>有玉西モデル、想定ケジュール</t>
    </r>
    <phoneticPr fontId="1"/>
  </si>
  <si>
    <r>
      <rPr>
        <sz val="11"/>
        <color rgb="FF242424"/>
        <rFont val="Segoe UI Symbol"/>
        <family val="2"/>
      </rPr>
      <t>■</t>
    </r>
    <r>
      <rPr>
        <sz val="11"/>
        <color theme="1"/>
        <rFont val="游ゴシック"/>
        <family val="2"/>
        <charset val="128"/>
      </rPr>
      <t>土地決済日｜</t>
    </r>
    <r>
      <rPr>
        <sz val="11"/>
        <color theme="1"/>
        <rFont val="Segoe UI"/>
        <family val="2"/>
      </rPr>
      <t>8</t>
    </r>
    <r>
      <rPr>
        <sz val="11"/>
        <color theme="1"/>
        <rFont val="游ゴシック"/>
        <family val="2"/>
        <charset val="128"/>
      </rPr>
      <t>月</t>
    </r>
    <r>
      <rPr>
        <sz val="11"/>
        <color theme="1"/>
        <rFont val="Segoe UI"/>
        <family val="2"/>
      </rPr>
      <t>30</t>
    </r>
    <r>
      <rPr>
        <sz val="11"/>
        <color theme="1"/>
        <rFont val="游ゴシック"/>
        <family val="2"/>
        <charset val="128"/>
      </rPr>
      <t>日予定</t>
    </r>
    <r>
      <rPr>
        <sz val="11"/>
        <color rgb="FF242424"/>
        <rFont val="Yu Gothic"/>
        <family val="2"/>
        <charset val="128"/>
      </rPr>
      <t>とすると</t>
    </r>
    <r>
      <rPr>
        <sz val="11"/>
        <color rgb="FF242424"/>
        <rFont val="Segoe UI"/>
        <family val="2"/>
      </rPr>
      <t>9/10</t>
    </r>
    <r>
      <rPr>
        <sz val="11"/>
        <color rgb="FF242424"/>
        <rFont val="Yu Gothic"/>
        <family val="2"/>
        <charset val="128"/>
      </rPr>
      <t>着工</t>
    </r>
    <rPh sb="22" eb="24">
      <t>チャッコウ</t>
    </rPh>
    <phoneticPr fontId="1"/>
  </si>
  <si>
    <t>解体工事が8/29までかかるため</t>
    <rPh sb="0" eb="4">
      <t>カイタイコウジ</t>
    </rPh>
    <phoneticPr fontId="1"/>
  </si>
  <si>
    <r>
      <t>地盤調査日は8</t>
    </r>
    <r>
      <rPr>
        <b/>
        <sz val="11"/>
        <color rgb="FFFF0000"/>
        <rFont val="HG丸ｺﾞｼｯｸM-PRO"/>
        <family val="3"/>
        <charset val="128"/>
      </rPr>
      <t>/30（金）</t>
    </r>
    <r>
      <rPr>
        <sz val="11"/>
        <color theme="1"/>
        <rFont val="HG丸ｺﾞｼｯｸM-PRO"/>
        <family val="3"/>
        <charset val="128"/>
      </rPr>
      <t>でお願いします。</t>
    </r>
    <rPh sb="0" eb="4">
      <t>ジバンチョウサ</t>
    </rPh>
    <rPh sb="4" eb="5">
      <t>ヒ</t>
    </rPh>
    <rPh sb="11" eb="12">
      <t>キン</t>
    </rPh>
    <rPh sb="15" eb="16">
      <t>ネガ</t>
    </rPh>
    <phoneticPr fontId="1"/>
  </si>
  <si>
    <t>2024/8/1</t>
    <phoneticPr fontId="1"/>
  </si>
  <si>
    <t>2024/9/1</t>
    <phoneticPr fontId="1"/>
  </si>
  <si>
    <t>即着工したいため、速報すぐ欲しいです</t>
    <rPh sb="0" eb="1">
      <t>ソク</t>
    </rPh>
    <rPh sb="1" eb="3">
      <t>チャッコウ</t>
    </rPh>
    <rPh sb="9" eb="11">
      <t>ソクホウ</t>
    </rPh>
    <rPh sb="13" eb="14">
      <t>ホ</t>
    </rPh>
    <phoneticPr fontId="1"/>
  </si>
  <si>
    <t>伊藤友章</t>
    <rPh sb="0" eb="2">
      <t>イトウ</t>
    </rPh>
    <rPh sb="2" eb="4">
      <t>トモアキ</t>
    </rPh>
    <phoneticPr fontId="1"/>
  </si>
  <si>
    <t>ｲﾄｳ　ﾄﾓｱｷ</t>
    <phoneticPr fontId="1"/>
  </si>
  <si>
    <t>静岡県掛川市宮脇字五輪田1059番2,1059番9,1060番17</t>
    <phoneticPr fontId="1"/>
  </si>
  <si>
    <t>2024/12/23</t>
    <phoneticPr fontId="1"/>
  </si>
  <si>
    <t>2024/4</t>
    <phoneticPr fontId="1"/>
  </si>
  <si>
    <t>2024/11/30</t>
    <phoneticPr fontId="1"/>
  </si>
  <si>
    <t>平澤</t>
  </si>
  <si>
    <t>2025/1/14</t>
    <phoneticPr fontId="1"/>
  </si>
  <si>
    <r>
      <t>プレカット図納期期限　</t>
    </r>
    <r>
      <rPr>
        <b/>
        <sz val="11"/>
        <color rgb="FFFF0000"/>
        <rFont val="HG丸ｺﾞｼｯｸM-PRO"/>
        <family val="3"/>
        <charset val="128"/>
      </rPr>
      <t>10/31</t>
    </r>
    <rPh sb="5" eb="6">
      <t>ズ</t>
    </rPh>
    <rPh sb="6" eb="8">
      <t>ノウキ</t>
    </rPh>
    <rPh sb="8" eb="10">
      <t>キゲン</t>
    </rPh>
    <phoneticPr fontId="1"/>
  </si>
  <si>
    <t>株式会社LIFEFUND　</t>
    <phoneticPr fontId="1"/>
  </si>
  <si>
    <t>株式会社LIFEFUND</t>
    <phoneticPr fontId="1"/>
  </si>
  <si>
    <t>2024/10/22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</si>
</sst>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m/d;@"/>
  </numFmts>
  <fonts count="8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HG丸ｺﾞｼｯｸM-PRO"/>
      <family val="3"/>
      <charset val="128"/>
    </font>
    <font>
      <u/>
      <sz val="10"/>
      <color theme="10"/>
      <name val="游ゴシック"/>
      <family val="2"/>
      <charset val="128"/>
      <scheme val="minor"/>
    </font>
    <font>
      <u/>
      <sz val="8"/>
      <color theme="10"/>
      <name val="游ゴシック"/>
      <family val="2"/>
      <charset val="128"/>
      <scheme val="minor"/>
    </font>
    <font>
      <sz val="6"/>
      <color theme="1"/>
      <name val="HG丸ｺﾞｼｯｸM-PRO"/>
      <family val="3"/>
      <charset val="128"/>
    </font>
    <font>
      <u/>
      <sz val="11"/>
      <color theme="1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1"/>
      <color theme="8" tint="-0.499984740745262"/>
      <name val="游ゴシック"/>
      <family val="2"/>
      <charset val="128"/>
      <scheme val="minor"/>
    </font>
    <font>
      <sz val="11"/>
      <color theme="8" tint="-0.499984740745262"/>
      <name val="游ゴシック"/>
      <family val="3"/>
      <charset val="128"/>
      <scheme val="minor"/>
    </font>
    <font>
      <sz val="10"/>
      <color theme="8" tint="-0.499984740745262"/>
      <name val="游ゴシック"/>
      <family val="3"/>
      <charset val="128"/>
      <scheme val="minor"/>
    </font>
    <font>
      <sz val="10"/>
      <color theme="8" tint="-0.499984740745262"/>
      <name val="游ゴシック"/>
      <family val="2"/>
      <charset val="128"/>
      <scheme val="minor"/>
    </font>
    <font>
      <sz val="10"/>
      <color theme="1"/>
      <name val="Segoe UI Symbol"/>
      <family val="1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8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b/>
      <sz val="8"/>
      <color rgb="FF000000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3"/>
      <color rgb="FFFFFFFF"/>
      <name val="ＭＳ Ｐゴシック"/>
      <family val="3"/>
      <charset val="128"/>
    </font>
    <font>
      <sz val="13"/>
      <color rgb="FFFFFFFF"/>
      <name val="ＭＳ Ｐゴシック"/>
      <family val="3"/>
      <charset val="128"/>
    </font>
    <font>
      <sz val="11"/>
      <color rgb="FFFFFFFF"/>
      <name val="ＭＳ Ｐゴシック"/>
      <family val="3"/>
      <charset val="128"/>
    </font>
    <font>
      <sz val="8"/>
      <color rgb="FFFFFFFF"/>
      <name val="ＭＳ Ｐゴシック"/>
      <family val="3"/>
      <charset val="128"/>
    </font>
    <font>
      <sz val="13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20"/>
      <color rgb="FF000000"/>
      <name val="ＭＳ Ｐゴシック"/>
      <family val="3"/>
      <charset val="128"/>
    </font>
    <font>
      <sz val="20"/>
      <color rgb="FF000000"/>
      <name val="ＭＳ Ｐゴシック"/>
      <family val="3"/>
      <charset val="128"/>
    </font>
    <font>
      <sz val="20"/>
      <color rgb="FFFFFFFF"/>
      <name val="ＭＳ Ｐゴシック"/>
      <family val="3"/>
      <charset val="128"/>
    </font>
    <font>
      <b/>
      <sz val="13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6"/>
      <color rgb="FF000000"/>
      <name val="ＭＳ Ｐゴシック"/>
      <family val="3"/>
      <charset val="128"/>
    </font>
    <font>
      <sz val="6"/>
      <color rgb="FF000000"/>
      <name val="ＭＳ Ｐゴシック"/>
      <family val="3"/>
      <charset val="128"/>
    </font>
    <font>
      <u/>
      <sz val="8"/>
      <color rgb="FF000000"/>
      <name val="ＭＳ Ｐゴシック"/>
      <family val="3"/>
      <charset val="128"/>
    </font>
    <font>
      <u/>
      <sz val="12"/>
      <color rgb="FF00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u/>
      <sz val="8"/>
      <color rgb="FFFFFFFF"/>
      <name val="ＭＳ Ｐゴシック"/>
      <family val="3"/>
      <charset val="128"/>
    </font>
    <font>
      <sz val="10"/>
      <color rgb="FFFF0000"/>
      <name val="HG丸ｺﾞｼｯｸM-PRO"/>
      <family val="3"/>
      <charset val="128"/>
    </font>
    <font>
      <sz val="11"/>
      <color theme="8" tint="-0.499984740745262"/>
      <name val="HG丸ｺﾞｼｯｸM-PRO"/>
      <family val="3"/>
      <charset val="128"/>
    </font>
    <font>
      <sz val="10"/>
      <color theme="8" tint="-0.499984740745262"/>
      <name val="HG丸ｺﾞｼｯｸM-PRO"/>
      <family val="3"/>
      <charset val="128"/>
    </font>
    <font>
      <sz val="8"/>
      <color theme="8" tint="-0.499984740745262"/>
      <name val="HG丸ｺﾞｼｯｸM-PRO"/>
      <family val="3"/>
      <charset val="128"/>
    </font>
    <font>
      <sz val="12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1"/>
      <name val="游ゴシック"/>
      <family val="2"/>
      <charset val="128"/>
      <scheme val="minor"/>
    </font>
    <font>
      <sz val="8"/>
      <name val="HG丸ｺﾞｼｯｸM-PRO"/>
      <family val="3"/>
      <charset val="128"/>
    </font>
    <font>
      <sz val="10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1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theme="8" tint="-0.499984740745262"/>
      <name val="游ゴシック"/>
      <family val="3"/>
      <charset val="128"/>
      <scheme val="minor"/>
    </font>
    <font>
      <sz val="14"/>
      <color rgb="FF333333"/>
      <name val="Arial"/>
      <family val="3"/>
      <charset val="128"/>
    </font>
    <font>
      <sz val="10"/>
      <color rgb="FFFFFFFF"/>
      <name val="游ゴシック"/>
      <family val="3"/>
      <charset val="128"/>
      <scheme val="minor"/>
    </font>
    <font>
      <sz val="11"/>
      <color rgb="FF4A4A4A"/>
      <name val="Segoe UI"/>
      <family val="2"/>
    </font>
    <font>
      <sz val="12"/>
      <color theme="1"/>
      <name val="Calibri"/>
      <family val="1"/>
    </font>
    <font>
      <sz val="11"/>
      <color theme="1"/>
      <name val="Arial"/>
      <family val="2"/>
    </font>
    <font>
      <sz val="11"/>
      <color theme="1"/>
      <name val="ＭＳ ゴシック"/>
      <family val="3"/>
      <charset val="128"/>
    </font>
    <font>
      <sz val="11"/>
      <color theme="1"/>
      <name val="Arial"/>
      <family val="3"/>
      <charset val="128"/>
    </font>
    <font>
      <sz val="10"/>
      <color theme="1"/>
      <name val="Arial"/>
      <family val="2"/>
    </font>
    <font>
      <sz val="11"/>
      <color rgb="FFFF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sz val="11"/>
      <color rgb="FF242424"/>
      <name val="Segoe UI"/>
      <family val="2"/>
    </font>
    <font>
      <sz val="11"/>
      <color rgb="FF242424"/>
      <name val="ＭＳ ゴシック"/>
      <family val="3"/>
      <charset val="128"/>
    </font>
    <font>
      <sz val="11"/>
      <color rgb="FF242424"/>
      <name val="Segoe UI Symbol"/>
      <family val="2"/>
    </font>
    <font>
      <sz val="11"/>
      <color theme="1"/>
      <name val="游ゴシック"/>
      <family val="2"/>
      <charset val="128"/>
    </font>
    <font>
      <sz val="11"/>
      <color rgb="FF242424"/>
      <name val="游ゴシック"/>
      <family val="2"/>
      <charset val="128"/>
    </font>
    <font>
      <sz val="11"/>
      <color theme="1"/>
      <name val="Segoe UI"/>
      <family val="2"/>
    </font>
    <font>
      <sz val="11"/>
      <color rgb="FF242424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thin">
        <color theme="0"/>
      </right>
      <top style="medium">
        <color theme="8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8" tint="-0.499984740745262"/>
      </top>
      <bottom style="thin">
        <color theme="0"/>
      </bottom>
      <diagonal/>
    </border>
    <border>
      <left style="thin">
        <color theme="0"/>
      </left>
      <right style="medium">
        <color theme="8" tint="-0.499984740745262"/>
      </right>
      <top style="medium">
        <color theme="8" tint="-0.499984740745262"/>
      </top>
      <bottom style="thin">
        <color theme="0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 style="thin">
        <color theme="0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 style="medium">
        <color theme="8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8" tint="-0.499984740745262"/>
      </bottom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8" tint="-0.499984740745262"/>
      </right>
      <top style="thin">
        <color theme="0"/>
      </top>
      <bottom/>
      <diagonal/>
    </border>
    <border>
      <left/>
      <right style="medium">
        <color theme="8" tint="-0.499984740745262"/>
      </right>
      <top/>
      <bottom/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theme="8" tint="-0.49998474074526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2" fillId="0" borderId="0" xfId="1" applyFont="1">
      <alignment vertical="center"/>
    </xf>
    <xf numFmtId="0" fontId="6" fillId="0" borderId="0" xfId="0" applyFont="1" applyAlignment="1">
      <alignment horizontal="right" vertical="center"/>
    </xf>
    <xf numFmtId="0" fontId="13" fillId="0" borderId="0" xfId="1" applyFont="1">
      <alignment vertical="center"/>
    </xf>
    <xf numFmtId="0" fontId="6" fillId="2" borderId="0" xfId="0" applyFont="1" applyFill="1">
      <alignment vertical="center"/>
    </xf>
    <xf numFmtId="0" fontId="15" fillId="0" borderId="0" xfId="0" applyFont="1">
      <alignment vertical="center"/>
    </xf>
    <xf numFmtId="0" fontId="8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17" fillId="0" borderId="0" xfId="0" applyFont="1">
      <alignment vertical="center"/>
    </xf>
    <xf numFmtId="0" fontId="17" fillId="3" borderId="3" xfId="0" applyFont="1" applyFill="1" applyBorder="1">
      <alignment vertical="center"/>
    </xf>
    <xf numFmtId="0" fontId="19" fillId="3" borderId="3" xfId="0" applyFont="1" applyFill="1" applyBorder="1">
      <alignment vertical="center"/>
    </xf>
    <xf numFmtId="0" fontId="18" fillId="3" borderId="3" xfId="0" applyFont="1" applyFill="1" applyBorder="1" applyAlignment="1">
      <alignment horizontal="right" vertical="center"/>
    </xf>
    <xf numFmtId="0" fontId="18" fillId="0" borderId="0" xfId="0" applyFont="1">
      <alignment vertical="center"/>
    </xf>
    <xf numFmtId="0" fontId="20" fillId="3" borderId="3" xfId="0" applyFont="1" applyFill="1" applyBorder="1">
      <alignment vertical="center"/>
    </xf>
    <xf numFmtId="0" fontId="17" fillId="3" borderId="3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0" borderId="0" xfId="0" applyFont="1" applyAlignment="1">
      <alignment vertical="center" shrinkToFit="1"/>
    </xf>
    <xf numFmtId="0" fontId="28" fillId="0" borderId="0" xfId="0" applyFont="1">
      <alignment vertical="center"/>
    </xf>
    <xf numFmtId="0" fontId="34" fillId="4" borderId="8" xfId="0" applyFont="1" applyFill="1" applyBorder="1">
      <alignment vertical="center"/>
    </xf>
    <xf numFmtId="0" fontId="35" fillId="4" borderId="8" xfId="0" applyFont="1" applyFill="1" applyBorder="1">
      <alignment vertical="center"/>
    </xf>
    <xf numFmtId="0" fontId="37" fillId="0" borderId="0" xfId="0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shrinkToFit="1"/>
    </xf>
    <xf numFmtId="0" fontId="40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2" fillId="4" borderId="8" xfId="0" applyFont="1" applyFill="1" applyBorder="1" applyAlignment="1">
      <alignment horizontal="center" vertical="center" shrinkToFit="1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vertical="center" shrinkToFit="1"/>
    </xf>
    <xf numFmtId="0" fontId="44" fillId="0" borderId="0" xfId="0" applyFont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39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8" fillId="0" borderId="13" xfId="0" applyFont="1" applyBorder="1" applyAlignment="1">
      <alignment horizontal="left" vertical="center"/>
    </xf>
    <xf numFmtId="0" fontId="47" fillId="0" borderId="27" xfId="0" applyFont="1" applyBorder="1" applyAlignment="1">
      <alignment horizontal="center" vertical="center" shrinkToFit="1"/>
    </xf>
    <xf numFmtId="0" fontId="47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5" borderId="8" xfId="0" applyFont="1" applyFill="1" applyBorder="1">
      <alignment vertical="center"/>
    </xf>
    <xf numFmtId="0" fontId="28" fillId="5" borderId="0" xfId="0" applyFont="1" applyFill="1">
      <alignment vertical="center"/>
    </xf>
    <xf numFmtId="0" fontId="46" fillId="5" borderId="0" xfId="0" applyFont="1" applyFill="1" applyAlignment="1">
      <alignment horizontal="left" vertical="center" wrapText="1"/>
    </xf>
    <xf numFmtId="0" fontId="28" fillId="0" borderId="17" xfId="0" applyFont="1" applyBorder="1" applyAlignment="1">
      <alignment vertical="center" wrapText="1"/>
    </xf>
    <xf numFmtId="0" fontId="28" fillId="0" borderId="17" xfId="0" applyFont="1" applyBorder="1">
      <alignment vertical="center"/>
    </xf>
    <xf numFmtId="0" fontId="39" fillId="0" borderId="9" xfId="0" applyFont="1" applyBorder="1">
      <alignment vertical="center"/>
    </xf>
    <xf numFmtId="0" fontId="39" fillId="0" borderId="10" xfId="0" applyFont="1" applyBorder="1">
      <alignment vertical="center"/>
    </xf>
    <xf numFmtId="0" fontId="39" fillId="0" borderId="11" xfId="0" applyFont="1" applyBorder="1">
      <alignment vertical="center"/>
    </xf>
    <xf numFmtId="0" fontId="32" fillId="0" borderId="13" xfId="0" applyFont="1" applyBorder="1" applyAlignment="1">
      <alignment vertical="center" shrinkToFit="1"/>
    </xf>
    <xf numFmtId="0" fontId="32" fillId="0" borderId="14" xfId="0" applyFont="1" applyBorder="1" applyAlignment="1">
      <alignment vertical="center" shrinkToFit="1"/>
    </xf>
    <xf numFmtId="0" fontId="38" fillId="0" borderId="10" xfId="0" applyFont="1" applyBorder="1">
      <alignment vertical="center"/>
    </xf>
    <xf numFmtId="0" fontId="50" fillId="0" borderId="10" xfId="0" applyFont="1" applyBorder="1">
      <alignment vertical="center"/>
    </xf>
    <xf numFmtId="0" fontId="39" fillId="0" borderId="13" xfId="0" applyFont="1" applyBorder="1">
      <alignment vertical="center"/>
    </xf>
    <xf numFmtId="0" fontId="32" fillId="0" borderId="4" xfId="0" applyFont="1" applyBorder="1">
      <alignment vertical="center"/>
    </xf>
    <xf numFmtId="0" fontId="32" fillId="0" borderId="5" xfId="0" applyFont="1" applyBorder="1">
      <alignment vertical="center"/>
    </xf>
    <xf numFmtId="0" fontId="32" fillId="0" borderId="6" xfId="0" applyFont="1" applyBorder="1">
      <alignment vertical="center"/>
    </xf>
    <xf numFmtId="0" fontId="38" fillId="0" borderId="9" xfId="0" applyFont="1" applyBorder="1">
      <alignment vertical="center"/>
    </xf>
    <xf numFmtId="0" fontId="38" fillId="0" borderId="11" xfId="0" applyFont="1" applyBorder="1">
      <alignment vertical="center"/>
    </xf>
    <xf numFmtId="0" fontId="38" fillId="0" borderId="13" xfId="0" applyFont="1" applyBorder="1" applyAlignment="1">
      <alignment vertical="center" shrinkToFit="1"/>
    </xf>
    <xf numFmtId="0" fontId="38" fillId="0" borderId="14" xfId="0" applyFont="1" applyBorder="1" applyAlignment="1">
      <alignment vertical="center" shrinkToFit="1"/>
    </xf>
    <xf numFmtId="0" fontId="38" fillId="0" borderId="10" xfId="0" applyFont="1" applyBorder="1" applyAlignment="1">
      <alignment horizontal="right" vertical="center"/>
    </xf>
    <xf numFmtId="0" fontId="28" fillId="0" borderId="28" xfId="0" applyFont="1" applyBorder="1" applyAlignment="1">
      <alignment horizontal="left" vertical="center"/>
    </xf>
    <xf numFmtId="0" fontId="28" fillId="0" borderId="1" xfId="0" applyFont="1" applyBorder="1">
      <alignment vertical="center"/>
    </xf>
    <xf numFmtId="0" fontId="3" fillId="0" borderId="0" xfId="0" applyFont="1" applyAlignment="1">
      <alignment horizontal="right" vertical="center"/>
    </xf>
    <xf numFmtId="0" fontId="17" fillId="3" borderId="42" xfId="0" applyFont="1" applyFill="1" applyBorder="1">
      <alignment vertical="center"/>
    </xf>
    <xf numFmtId="14" fontId="2" fillId="0" borderId="1" xfId="0" applyNumberFormat="1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Alignment="1">
      <alignment horizontal="right"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16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0" fillId="0" borderId="0" xfId="0" applyFont="1" applyAlignment="1">
      <alignment horizontal="right" vertical="center"/>
    </xf>
    <xf numFmtId="0" fontId="62" fillId="0" borderId="0" xfId="0" applyFont="1">
      <alignment vertical="center"/>
    </xf>
    <xf numFmtId="0" fontId="6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0" fillId="0" borderId="0" xfId="1" applyFill="1">
      <alignment vertical="center"/>
    </xf>
    <xf numFmtId="0" fontId="63" fillId="0" borderId="0" xfId="0" applyFont="1">
      <alignment vertical="center"/>
    </xf>
    <xf numFmtId="0" fontId="63" fillId="0" borderId="0" xfId="0" applyFont="1" applyAlignment="1">
      <alignment horizontal="right" vertical="center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66" fillId="0" borderId="0" xfId="0" applyFont="1">
      <alignment vertical="center"/>
    </xf>
    <xf numFmtId="0" fontId="67" fillId="0" borderId="0" xfId="0" applyFont="1">
      <alignment vertical="center"/>
    </xf>
    <xf numFmtId="0" fontId="6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3" borderId="45" xfId="0" applyFont="1" applyFill="1" applyBorder="1">
      <alignment vertical="center"/>
    </xf>
    <xf numFmtId="0" fontId="17" fillId="3" borderId="46" xfId="0" applyFont="1" applyFill="1" applyBorder="1">
      <alignment vertical="center"/>
    </xf>
    <xf numFmtId="0" fontId="17" fillId="3" borderId="47" xfId="0" applyFont="1" applyFill="1" applyBorder="1">
      <alignment vertical="center"/>
    </xf>
    <xf numFmtId="0" fontId="17" fillId="3" borderId="48" xfId="0" applyFont="1" applyFill="1" applyBorder="1">
      <alignment vertical="center"/>
    </xf>
    <xf numFmtId="0" fontId="18" fillId="3" borderId="49" xfId="0" applyFont="1" applyFill="1" applyBorder="1">
      <alignment vertical="center"/>
    </xf>
    <xf numFmtId="0" fontId="18" fillId="3" borderId="49" xfId="0" applyFont="1" applyFill="1" applyBorder="1" applyAlignment="1">
      <alignment horizontal="right" vertical="center"/>
    </xf>
    <xf numFmtId="0" fontId="18" fillId="3" borderId="50" xfId="0" applyFont="1" applyFill="1" applyBorder="1">
      <alignment vertical="center"/>
    </xf>
    <xf numFmtId="0" fontId="18" fillId="3" borderId="51" xfId="0" applyFont="1" applyFill="1" applyBorder="1">
      <alignment vertical="center"/>
    </xf>
    <xf numFmtId="0" fontId="18" fillId="3" borderId="52" xfId="0" applyFont="1" applyFill="1" applyBorder="1">
      <alignment vertical="center"/>
    </xf>
    <xf numFmtId="0" fontId="17" fillId="3" borderId="0" xfId="0" applyFont="1" applyFill="1">
      <alignment vertical="center"/>
    </xf>
    <xf numFmtId="0" fontId="17" fillId="3" borderId="53" xfId="0" applyFont="1" applyFill="1" applyBorder="1">
      <alignment vertical="center"/>
    </xf>
    <xf numFmtId="0" fontId="18" fillId="3" borderId="54" xfId="0" applyFont="1" applyFill="1" applyBorder="1">
      <alignment vertical="center"/>
    </xf>
    <xf numFmtId="0" fontId="18" fillId="0" borderId="44" xfId="0" applyFont="1" applyBorder="1">
      <alignment vertical="center"/>
    </xf>
    <xf numFmtId="0" fontId="18" fillId="0" borderId="55" xfId="0" applyFont="1" applyBorder="1">
      <alignment vertical="center"/>
    </xf>
    <xf numFmtId="0" fontId="17" fillId="0" borderId="55" xfId="0" applyFont="1" applyBorder="1">
      <alignment vertical="center"/>
    </xf>
    <xf numFmtId="0" fontId="18" fillId="0" borderId="56" xfId="0" applyFont="1" applyBorder="1">
      <alignment vertical="center"/>
    </xf>
    <xf numFmtId="0" fontId="17" fillId="0" borderId="57" xfId="0" applyFont="1" applyBorder="1">
      <alignment vertical="center"/>
    </xf>
    <xf numFmtId="0" fontId="9" fillId="0" borderId="1" xfId="0" applyFont="1" applyBorder="1">
      <alignment vertical="center"/>
    </xf>
    <xf numFmtId="0" fontId="17" fillId="3" borderId="3" xfId="0" applyFont="1" applyFill="1" applyBorder="1" applyAlignment="1">
      <alignment horizontal="right" vertical="center"/>
    </xf>
    <xf numFmtId="49" fontId="17" fillId="3" borderId="3" xfId="0" applyNumberFormat="1" applyFont="1" applyFill="1" applyBorder="1">
      <alignment vertical="center"/>
    </xf>
    <xf numFmtId="49" fontId="17" fillId="3" borderId="3" xfId="0" applyNumberFormat="1" applyFont="1" applyFill="1" applyBorder="1" applyAlignment="1">
      <alignment vertical="center" wrapText="1"/>
    </xf>
    <xf numFmtId="49" fontId="17" fillId="3" borderId="42" xfId="0" applyNumberFormat="1" applyFont="1" applyFill="1" applyBorder="1">
      <alignment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0" fontId="10" fillId="0" borderId="0" xfId="1">
      <alignment vertical="center"/>
    </xf>
    <xf numFmtId="0" fontId="70" fillId="0" borderId="0" xfId="0" applyFont="1">
      <alignment vertical="center"/>
    </xf>
    <xf numFmtId="0" fontId="71" fillId="0" borderId="0" xfId="0" applyFont="1">
      <alignment vertical="center"/>
    </xf>
    <xf numFmtId="0" fontId="72" fillId="0" borderId="0" xfId="0" applyFont="1">
      <alignment vertical="center"/>
    </xf>
    <xf numFmtId="0" fontId="10" fillId="0" borderId="0" xfId="1" applyFill="1" applyBorder="1">
      <alignment vertical="center"/>
    </xf>
    <xf numFmtId="0" fontId="73" fillId="0" borderId="0" xfId="0" applyFont="1">
      <alignment vertical="center"/>
    </xf>
    <xf numFmtId="0" fontId="18" fillId="0" borderId="30" xfId="0" applyFont="1" applyBorder="1">
      <alignment vertical="center"/>
    </xf>
    <xf numFmtId="0" fontId="18" fillId="0" borderId="32" xfId="0" applyFont="1" applyBorder="1">
      <alignment vertical="center"/>
    </xf>
    <xf numFmtId="0" fontId="18" fillId="0" borderId="58" xfId="0" applyFont="1" applyBorder="1">
      <alignment vertical="center"/>
    </xf>
    <xf numFmtId="0" fontId="18" fillId="0" borderId="59" xfId="0" applyFont="1" applyBorder="1">
      <alignment vertical="center"/>
    </xf>
    <xf numFmtId="0" fontId="18" fillId="0" borderId="33" xfId="0" applyFont="1" applyBorder="1">
      <alignment vertical="center"/>
    </xf>
    <xf numFmtId="0" fontId="17" fillId="0" borderId="30" xfId="0" applyFont="1" applyBorder="1">
      <alignment vertical="center"/>
    </xf>
    <xf numFmtId="0" fontId="17" fillId="0" borderId="58" xfId="0" applyFont="1" applyBorder="1">
      <alignment vertical="center"/>
    </xf>
    <xf numFmtId="0" fontId="17" fillId="0" borderId="59" xfId="0" applyFont="1" applyBorder="1">
      <alignment vertical="center"/>
    </xf>
    <xf numFmtId="0" fontId="17" fillId="0" borderId="33" xfId="0" applyFont="1" applyBorder="1">
      <alignment vertical="center"/>
    </xf>
    <xf numFmtId="0" fontId="17" fillId="0" borderId="32" xfId="0" applyFont="1" applyBorder="1">
      <alignment vertical="center"/>
    </xf>
    <xf numFmtId="0" fontId="17" fillId="0" borderId="35" xfId="0" applyFont="1" applyBorder="1">
      <alignment vertical="center"/>
    </xf>
    <xf numFmtId="0" fontId="17" fillId="0" borderId="60" xfId="0" applyFont="1" applyBorder="1">
      <alignment vertical="center"/>
    </xf>
    <xf numFmtId="0" fontId="18" fillId="0" borderId="35" xfId="0" applyFont="1" applyBorder="1">
      <alignment vertical="center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0" fontId="10" fillId="0" borderId="0" xfId="1" applyFill="1" applyBorder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18" fillId="0" borderId="61" xfId="0" applyFont="1" applyBorder="1">
      <alignment vertical="center"/>
    </xf>
    <xf numFmtId="0" fontId="0" fillId="0" borderId="62" xfId="0" applyBorder="1">
      <alignment vertical="center"/>
    </xf>
    <xf numFmtId="0" fontId="7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0" borderId="0" xfId="0" applyFont="1" applyAlignment="1">
      <alignment horizontal="left"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69" fillId="6" borderId="43" xfId="0" applyFont="1" applyFill="1" applyBorder="1">
      <alignment vertical="center"/>
    </xf>
    <xf numFmtId="0" fontId="69" fillId="6" borderId="44" xfId="0" applyFont="1" applyFill="1" applyBorder="1">
      <alignment vertical="center"/>
    </xf>
    <xf numFmtId="0" fontId="78" fillId="0" borderId="1" xfId="0" applyFont="1" applyBorder="1">
      <alignment vertical="center"/>
    </xf>
    <xf numFmtId="0" fontId="78" fillId="0" borderId="0" xfId="0" applyFont="1">
      <alignment vertical="center"/>
    </xf>
    <xf numFmtId="0" fontId="16" fillId="0" borderId="1" xfId="0" applyFont="1" applyBorder="1">
      <alignment vertical="center"/>
    </xf>
    <xf numFmtId="56" fontId="2" fillId="0" borderId="1" xfId="0" applyNumberFormat="1" applyFont="1" applyBorder="1">
      <alignment vertical="center"/>
    </xf>
    <xf numFmtId="56" fontId="2" fillId="0" borderId="0" xfId="0" applyNumberFormat="1" applyFont="1">
      <alignment vertical="center"/>
    </xf>
    <xf numFmtId="0" fontId="80" fillId="0" borderId="0" xfId="0" applyFont="1">
      <alignment vertical="center"/>
    </xf>
    <xf numFmtId="0" fontId="80" fillId="7" borderId="0" xfId="0" applyFont="1" applyFill="1">
      <alignment vertical="center"/>
    </xf>
    <xf numFmtId="0" fontId="84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0" fillId="0" borderId="0" xfId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27" fillId="0" borderId="0" xfId="0" applyFont="1" applyAlignment="1">
      <alignment horizontal="center" vertical="center" shrinkToFit="1"/>
    </xf>
    <xf numFmtId="0" fontId="29" fillId="0" borderId="7" xfId="0" applyFont="1" applyBorder="1" applyAlignment="1">
      <alignment horizontal="center" vertical="center" shrinkToFit="1"/>
    </xf>
    <xf numFmtId="49" fontId="28" fillId="0" borderId="7" xfId="0" applyNumberFormat="1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8" fillId="0" borderId="4" xfId="0" applyFont="1" applyBorder="1">
      <alignment vertical="center"/>
    </xf>
    <xf numFmtId="0" fontId="28" fillId="0" borderId="5" xfId="0" applyFont="1" applyBorder="1">
      <alignment vertical="center"/>
    </xf>
    <xf numFmtId="0" fontId="28" fillId="0" borderId="6" xfId="0" applyFont="1" applyBorder="1">
      <alignment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3" fillId="4" borderId="8" xfId="0" applyFont="1" applyFill="1" applyBorder="1" applyAlignment="1">
      <alignment horizontal="left" vertical="center"/>
    </xf>
    <xf numFmtId="0" fontId="36" fillId="4" borderId="8" xfId="0" applyFont="1" applyFill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0" fontId="30" fillId="0" borderId="4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9" fillId="0" borderId="12" xfId="0" applyFont="1" applyBorder="1" applyAlignment="1">
      <alignment horizontal="left" vertical="center" shrinkToFit="1"/>
    </xf>
    <xf numFmtId="0" fontId="39" fillId="0" borderId="13" xfId="0" applyFont="1" applyBorder="1" applyAlignment="1">
      <alignment horizontal="left" vertical="center" shrinkToFit="1"/>
    </xf>
    <xf numFmtId="0" fontId="32" fillId="0" borderId="5" xfId="0" applyFont="1" applyBorder="1" applyAlignment="1">
      <alignment horizontal="center" vertical="center"/>
    </xf>
    <xf numFmtId="0" fontId="44" fillId="0" borderId="12" xfId="0" applyFont="1" applyBorder="1" applyAlignment="1">
      <alignment horizontal="left" vertical="top" shrinkToFit="1"/>
    </xf>
    <xf numFmtId="0" fontId="44" fillId="0" borderId="13" xfId="0" applyFont="1" applyBorder="1" applyAlignment="1">
      <alignment horizontal="left" vertical="top" shrinkToFit="1"/>
    </xf>
    <xf numFmtId="0" fontId="38" fillId="0" borderId="13" xfId="0" applyFont="1" applyBorder="1" applyAlignment="1">
      <alignment horizontal="center" vertical="center" shrinkToFit="1"/>
    </xf>
    <xf numFmtId="0" fontId="32" fillId="0" borderId="13" xfId="0" applyFont="1" applyBorder="1" applyAlignment="1">
      <alignment horizontal="left" vertical="center" shrinkToFit="1"/>
    </xf>
    <xf numFmtId="0" fontId="39" fillId="0" borderId="0" xfId="0" applyFont="1" applyAlignment="1">
      <alignment horizontal="left" shrinkToFit="1"/>
    </xf>
    <xf numFmtId="0" fontId="38" fillId="0" borderId="10" xfId="0" applyFont="1" applyBorder="1" applyAlignment="1">
      <alignment horizontal="center" vertical="center"/>
    </xf>
    <xf numFmtId="0" fontId="47" fillId="0" borderId="4" xfId="0" applyFont="1" applyBorder="1" applyAlignment="1">
      <alignment horizontal="left" vertical="center" shrinkToFit="1"/>
    </xf>
    <xf numFmtId="0" fontId="47" fillId="0" borderId="5" xfId="0" applyFont="1" applyBorder="1" applyAlignment="1">
      <alignment horizontal="left" vertical="center" shrinkToFit="1"/>
    </xf>
    <xf numFmtId="0" fontId="47" fillId="0" borderId="6" xfId="0" applyFont="1" applyBorder="1" applyAlignment="1">
      <alignment horizontal="left" vertical="center" shrinkToFit="1"/>
    </xf>
    <xf numFmtId="0" fontId="54" fillId="4" borderId="8" xfId="0" applyFont="1" applyFill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5" xfId="0" applyFont="1" applyBorder="1" applyAlignment="1">
      <alignment horizontal="left" vertical="center"/>
    </xf>
    <xf numFmtId="0" fontId="32" fillId="0" borderId="6" xfId="0" applyFont="1" applyBorder="1" applyAlignment="1">
      <alignment horizontal="left" vertical="center"/>
    </xf>
    <xf numFmtId="0" fontId="47" fillId="0" borderId="9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53" fillId="0" borderId="11" xfId="0" applyFont="1" applyBorder="1" applyAlignment="1">
      <alignment horizontal="left" vertical="center"/>
    </xf>
    <xf numFmtId="0" fontId="53" fillId="0" borderId="12" xfId="0" applyFont="1" applyBorder="1" applyAlignment="1">
      <alignment horizontal="left" vertical="center"/>
    </xf>
    <xf numFmtId="0" fontId="53" fillId="0" borderId="13" xfId="0" applyFont="1" applyBorder="1" applyAlignment="1">
      <alignment horizontal="left" vertical="center"/>
    </xf>
    <xf numFmtId="0" fontId="53" fillId="0" borderId="14" xfId="0" applyFont="1" applyBorder="1" applyAlignment="1">
      <alignment horizontal="left" vertical="center"/>
    </xf>
    <xf numFmtId="0" fontId="36" fillId="4" borderId="15" xfId="0" applyFont="1" applyFill="1" applyBorder="1" applyAlignment="1">
      <alignment horizontal="left" vertical="center"/>
    </xf>
    <xf numFmtId="0" fontId="47" fillId="0" borderId="16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center" vertical="center" shrinkToFit="1"/>
    </xf>
    <xf numFmtId="0" fontId="47" fillId="0" borderId="18" xfId="0" applyFont="1" applyBorder="1" applyAlignment="1">
      <alignment horizontal="center" vertical="center" shrinkToFit="1"/>
    </xf>
    <xf numFmtId="0" fontId="47" fillId="0" borderId="21" xfId="0" applyFont="1" applyBorder="1" applyAlignment="1">
      <alignment horizontal="center" vertical="center" shrinkToFit="1"/>
    </xf>
    <xf numFmtId="0" fontId="47" fillId="0" borderId="22" xfId="0" applyFont="1" applyBorder="1" applyAlignment="1">
      <alignment horizontal="center" vertical="center" shrinkToFit="1"/>
    </xf>
    <xf numFmtId="0" fontId="47" fillId="0" borderId="23" xfId="0" applyFont="1" applyBorder="1" applyAlignment="1">
      <alignment horizontal="center" vertical="center" shrinkToFit="1"/>
    </xf>
    <xf numFmtId="0" fontId="28" fillId="0" borderId="16" xfId="0" applyFont="1" applyBorder="1" applyAlignment="1">
      <alignment horizontal="center" vertical="center" shrinkToFit="1"/>
    </xf>
    <xf numFmtId="0" fontId="28" fillId="0" borderId="17" xfId="0" applyFont="1" applyBorder="1" applyAlignment="1">
      <alignment horizontal="center" vertical="center" shrinkToFit="1"/>
    </xf>
    <xf numFmtId="0" fontId="28" fillId="0" borderId="18" xfId="0" applyFont="1" applyBorder="1" applyAlignment="1">
      <alignment horizontal="center" vertical="center" shrinkToFit="1"/>
    </xf>
    <xf numFmtId="0" fontId="28" fillId="0" borderId="21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 shrinkToFit="1"/>
    </xf>
    <xf numFmtId="0" fontId="28" fillId="0" borderId="24" xfId="0" applyFont="1" applyBorder="1" applyAlignment="1">
      <alignment horizontal="center" vertical="center" shrinkToFit="1"/>
    </xf>
    <xf numFmtId="0" fontId="47" fillId="0" borderId="19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47" fillId="0" borderId="25" xfId="0" applyFont="1" applyBorder="1" applyAlignment="1">
      <alignment horizontal="center" vertical="center" shrinkToFit="1"/>
    </xf>
    <xf numFmtId="0" fontId="28" fillId="0" borderId="20" xfId="0" applyFont="1" applyBorder="1" applyAlignment="1">
      <alignment horizontal="left" vertical="center" shrinkToFit="1"/>
    </xf>
    <xf numFmtId="0" fontId="28" fillId="0" borderId="17" xfId="0" applyFont="1" applyBorder="1" applyAlignment="1">
      <alignment horizontal="left" vertical="center" shrinkToFit="1"/>
    </xf>
    <xf numFmtId="0" fontId="28" fillId="0" borderId="18" xfId="0" applyFont="1" applyBorder="1" applyAlignment="1">
      <alignment horizontal="left" vertical="center" shrinkToFit="1"/>
    </xf>
    <xf numFmtId="0" fontId="28" fillId="0" borderId="26" xfId="0" applyFont="1" applyBorder="1" applyAlignment="1">
      <alignment horizontal="left" vertical="center" shrinkToFit="1"/>
    </xf>
    <xf numFmtId="0" fontId="28" fillId="0" borderId="0" xfId="0" applyFont="1" applyAlignment="1">
      <alignment horizontal="left" vertical="center" shrinkToFit="1"/>
    </xf>
    <xf numFmtId="0" fontId="28" fillId="0" borderId="24" xfId="0" applyFont="1" applyBorder="1" applyAlignment="1">
      <alignment horizontal="left" vertical="center" shrinkToFit="1"/>
    </xf>
    <xf numFmtId="0" fontId="47" fillId="0" borderId="31" xfId="0" applyFont="1" applyBorder="1" applyAlignment="1">
      <alignment horizontal="left" vertical="center"/>
    </xf>
    <xf numFmtId="0" fontId="47" fillId="0" borderId="32" xfId="0" applyFont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0" fontId="47" fillId="0" borderId="35" xfId="0" applyFont="1" applyBorder="1" applyAlignment="1">
      <alignment horizontal="left" vertical="center"/>
    </xf>
    <xf numFmtId="0" fontId="23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27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  <xf numFmtId="0" fontId="47" fillId="0" borderId="30" xfId="0" applyFont="1" applyBorder="1" applyAlignment="1">
      <alignment horizontal="center" vertical="center" shrinkToFit="1"/>
    </xf>
    <xf numFmtId="0" fontId="47" fillId="0" borderId="31" xfId="0" applyFont="1" applyBorder="1" applyAlignment="1">
      <alignment horizontal="center" vertical="center" shrinkToFit="1"/>
    </xf>
    <xf numFmtId="0" fontId="47" fillId="0" borderId="32" xfId="0" applyFont="1" applyBorder="1" applyAlignment="1">
      <alignment horizontal="center" vertical="center" shrinkToFit="1"/>
    </xf>
    <xf numFmtId="0" fontId="47" fillId="0" borderId="33" xfId="0" applyFont="1" applyBorder="1" applyAlignment="1">
      <alignment horizontal="center" vertical="center" shrinkToFit="1"/>
    </xf>
    <xf numFmtId="0" fontId="47" fillId="0" borderId="34" xfId="0" applyFont="1" applyBorder="1" applyAlignment="1">
      <alignment horizontal="center" vertical="center" shrinkToFit="1"/>
    </xf>
    <xf numFmtId="0" fontId="47" fillId="0" borderId="35" xfId="0" applyFont="1" applyBorder="1" applyAlignment="1">
      <alignment horizontal="center" vertical="center" shrinkToFit="1"/>
    </xf>
    <xf numFmtId="0" fontId="47" fillId="0" borderId="30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48" fillId="5" borderId="4" xfId="0" applyFont="1" applyFill="1" applyBorder="1" applyAlignment="1">
      <alignment horizontal="left" vertical="center" wrapText="1"/>
    </xf>
    <xf numFmtId="0" fontId="48" fillId="5" borderId="5" xfId="0" applyFont="1" applyFill="1" applyBorder="1" applyAlignment="1">
      <alignment horizontal="left" vertical="center" wrapText="1"/>
    </xf>
    <xf numFmtId="0" fontId="48" fillId="5" borderId="6" xfId="0" applyFont="1" applyFill="1" applyBorder="1" applyAlignment="1">
      <alignment horizontal="left" vertical="center" wrapText="1"/>
    </xf>
    <xf numFmtId="0" fontId="48" fillId="5" borderId="36" xfId="0" applyFont="1" applyFill="1" applyBorder="1" applyAlignment="1">
      <alignment horizontal="center" vertical="center"/>
    </xf>
    <xf numFmtId="0" fontId="28" fillId="5" borderId="37" xfId="0" applyFont="1" applyFill="1" applyBorder="1" applyAlignment="1">
      <alignment horizontal="center" vertical="center"/>
    </xf>
    <xf numFmtId="0" fontId="28" fillId="5" borderId="38" xfId="0" applyFont="1" applyFill="1" applyBorder="1" applyAlignment="1">
      <alignment horizontal="center" vertical="center"/>
    </xf>
    <xf numFmtId="0" fontId="28" fillId="5" borderId="39" xfId="0" applyFont="1" applyFill="1" applyBorder="1" applyAlignment="1">
      <alignment horizontal="right" vertical="center"/>
    </xf>
    <xf numFmtId="0" fontId="28" fillId="5" borderId="37" xfId="0" applyFont="1" applyFill="1" applyBorder="1" applyAlignment="1">
      <alignment horizontal="right" vertical="center"/>
    </xf>
    <xf numFmtId="0" fontId="28" fillId="5" borderId="38" xfId="0" applyFont="1" applyFill="1" applyBorder="1" applyAlignment="1">
      <alignment horizontal="right" vertical="center"/>
    </xf>
    <xf numFmtId="0" fontId="4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center" vertical="center"/>
    </xf>
    <xf numFmtId="0" fontId="28" fillId="5" borderId="39" xfId="0" applyFont="1" applyFill="1" applyBorder="1" applyAlignment="1">
      <alignment horizontal="center" vertical="center"/>
    </xf>
    <xf numFmtId="0" fontId="48" fillId="5" borderId="39" xfId="0" applyFont="1" applyFill="1" applyBorder="1" applyAlignment="1">
      <alignment horizontal="center"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38" fillId="5" borderId="0" xfId="0" applyFont="1" applyFill="1" applyAlignment="1">
      <alignment horizontal="left" vertical="center"/>
    </xf>
    <xf numFmtId="0" fontId="47" fillId="0" borderId="28" xfId="0" applyFont="1" applyBorder="1" applyAlignment="1">
      <alignment horizontal="left" vertical="center"/>
    </xf>
    <xf numFmtId="176" fontId="28" fillId="0" borderId="2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0" fontId="63" fillId="0" borderId="0" xfId="0" applyFont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177" fontId="78" fillId="0" borderId="1" xfId="0" applyNumberFormat="1" applyFont="1" applyBorder="1" applyAlignment="1">
      <alignment horizontal="left" vertical="center"/>
    </xf>
    <xf numFmtId="0" fontId="55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38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166688</xdr:colOff>
      <xdr:row>0</xdr:row>
      <xdr:rowOff>17358</xdr:rowOff>
    </xdr:from>
    <xdr:to>
      <xdr:col>25</xdr:col>
      <xdr:colOff>1</xdr:colOff>
      <xdr:row>5</xdr:row>
      <xdr:rowOff>108695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88" y="17358"/>
          <a:ext cx="944563" cy="948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230187</xdr:colOff>
      <xdr:row>1</xdr:row>
      <xdr:rowOff>142875</xdr:rowOff>
    </xdr:from>
    <xdr:to>
      <xdr:col>24</xdr:col>
      <xdr:colOff>134937</xdr:colOff>
      <xdr:row>5</xdr:row>
      <xdr:rowOff>166031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CAA4FE3-9093-4CBE-92DC-59F15C704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317500"/>
          <a:ext cx="2682875" cy="705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246062</xdr:colOff>
      <xdr:row>1</xdr:row>
      <xdr:rowOff>45774</xdr:rowOff>
    </xdr:from>
    <xdr:to>
      <xdr:col>24</xdr:col>
      <xdr:colOff>134937</xdr:colOff>
      <xdr:row>5</xdr:row>
      <xdr:rowOff>68930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7B0936F-01F7-797C-7931-2E34B855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8562" y="220399"/>
          <a:ext cx="2944813" cy="7057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8555</xdr:colOff>
      <xdr:row>26</xdr:row>
      <xdr:rowOff>8093</xdr:rowOff>
    </xdr:from>
    <xdr:ext cx="327654" cy="26456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399205" y="4649943"/>
          <a:ext cx="327654" cy="264560"/>
        </a:xfrm>
        <a:prstGeom prst="rect">
          <a:avLst/>
        </a:prstGeom>
        <a:noFill/>
        <a:ln>
          <a:noFill/>
        </a:ln>
        <a:effectLst/>
      </xdr:spPr>
      <xdr:txBody>
        <a:bodyPr vert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10</a:t>
          </a:r>
        </a:p>
      </xdr:txBody>
    </xdr:sp>
    <xdr:clientData/>
  </xdr:oneCellAnchor>
  <xdr:oneCellAnchor>
    <xdr:from>
      <xdr:col>10</xdr:col>
      <xdr:colOff>123825</xdr:colOff>
      <xdr:row>27</xdr:row>
      <xdr:rowOff>141384</xdr:rowOff>
    </xdr:from>
    <xdr:ext cx="590550" cy="307531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1679575" y="4840384"/>
          <a:ext cx="590550" cy="30753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(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　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0.5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　　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ＭＳ Ｐゴシック" panose="020B0600070205080204" pitchFamily="50" charset="-128"/>
              <a:cs typeface="+mn-cs"/>
            </a:rPr>
            <a:t>)</a:t>
          </a:r>
          <a:endParaRPr kumimoji="1" lang="ja-JP" alt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oneCellAnchor>
  <xdr:twoCellAnchor>
    <xdr:from>
      <xdr:col>8</xdr:col>
      <xdr:colOff>118380</xdr:colOff>
      <xdr:row>27</xdr:row>
      <xdr:rowOff>167754</xdr:rowOff>
    </xdr:from>
    <xdr:to>
      <xdr:col>11</xdr:col>
      <xdr:colOff>907</xdr:colOff>
      <xdr:row>28</xdr:row>
      <xdr:rowOff>168681</xdr:rowOff>
    </xdr:to>
    <xdr:sp macro="" textlink="">
      <xdr:nvSpPr>
        <xdr:cNvPr id="11" name="直角三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 rot="10800000">
          <a:off x="1343930" y="4866754"/>
          <a:ext cx="377827" cy="242227"/>
        </a:xfrm>
        <a:prstGeom prst="rt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ja-JP" altLang="en-US" sz="18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ＭＳ Ｐゴシック" panose="020B060007020508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9525</xdr:colOff>
      <xdr:row>23</xdr:row>
      <xdr:rowOff>0</xdr:rowOff>
    </xdr:from>
    <xdr:to>
      <xdr:col>2</xdr:col>
      <xdr:colOff>190500</xdr:colOff>
      <xdr:row>23</xdr:row>
      <xdr:rowOff>95250</xdr:rowOff>
    </xdr:to>
    <xdr:sp macro="" textlink="">
      <xdr:nvSpPr>
        <xdr:cNvPr id="13" name="テキスト ボックス 1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409575" y="4705350"/>
          <a:ext cx="18097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38100</xdr:colOff>
      <xdr:row>23</xdr:row>
      <xdr:rowOff>0</xdr:rowOff>
    </xdr:from>
    <xdr:to>
      <xdr:col>28</xdr:col>
      <xdr:colOff>104775</xdr:colOff>
      <xdr:row>23</xdr:row>
      <xdr:rowOff>114300</xdr:rowOff>
    </xdr:to>
    <xdr:sp macro="" textlink="">
      <xdr:nvSpPr>
        <xdr:cNvPr id="15" name="テキスト ボックス 1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5448300" y="4705350"/>
          <a:ext cx="26670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133350</xdr:colOff>
          <xdr:row>10</xdr:row>
          <xdr:rowOff>9525</xdr:rowOff>
        </xdr:from>
        <xdr:to>
          <xdr:col>17</xdr:col>
          <xdr:colOff>47625</xdr:colOff>
          <xdr:row>11</xdr:row>
          <xdr:rowOff>19050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4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133350</xdr:colOff>
          <xdr:row>10</xdr:row>
          <xdr:rowOff>228600</xdr:rowOff>
        </xdr:from>
        <xdr:to>
          <xdr:col>17</xdr:col>
          <xdr:colOff>47625</xdr:colOff>
          <xdr:row>11</xdr:row>
          <xdr:rowOff>238125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4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10</xdr:row>
          <xdr:rowOff>9525</xdr:rowOff>
        </xdr:from>
        <xdr:to>
          <xdr:col>21</xdr:col>
          <xdr:colOff>47625</xdr:colOff>
          <xdr:row>11</xdr:row>
          <xdr:rowOff>19050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4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10</xdr:row>
          <xdr:rowOff>228600</xdr:rowOff>
        </xdr:from>
        <xdr:to>
          <xdr:col>21</xdr:col>
          <xdr:colOff>47625</xdr:colOff>
          <xdr:row>11</xdr:row>
          <xdr:rowOff>238125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4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20</xdr:row>
          <xdr:rowOff>19050</xdr:rowOff>
        </xdr:from>
        <xdr:to>
          <xdr:col>3</xdr:col>
          <xdr:colOff>28575</xdr:colOff>
          <xdr:row>20</xdr:row>
          <xdr:rowOff>219075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4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20</xdr:row>
          <xdr:rowOff>19050</xdr:rowOff>
        </xdr:from>
        <xdr:to>
          <xdr:col>8</xdr:col>
          <xdr:colOff>85725</xdr:colOff>
          <xdr:row>20</xdr:row>
          <xdr:rowOff>219075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4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20</xdr:row>
          <xdr:rowOff>28575</xdr:rowOff>
        </xdr:from>
        <xdr:to>
          <xdr:col>14</xdr:col>
          <xdr:colOff>76200</xdr:colOff>
          <xdr:row>20</xdr:row>
          <xdr:rowOff>228600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4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20</xdr:row>
          <xdr:rowOff>38100</xdr:rowOff>
        </xdr:from>
        <xdr:to>
          <xdr:col>22</xdr:col>
          <xdr:colOff>57150</xdr:colOff>
          <xdr:row>20</xdr:row>
          <xdr:rowOff>238125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4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104775</xdr:colOff>
          <xdr:row>20</xdr:row>
          <xdr:rowOff>19050</xdr:rowOff>
        </xdr:from>
        <xdr:to>
          <xdr:col>29</xdr:col>
          <xdr:colOff>57150</xdr:colOff>
          <xdr:row>20</xdr:row>
          <xdr:rowOff>219075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4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25</xdr:row>
          <xdr:rowOff>19050</xdr:rowOff>
        </xdr:from>
        <xdr:to>
          <xdr:col>5</xdr:col>
          <xdr:colOff>95250</xdr:colOff>
          <xdr:row>25</xdr:row>
          <xdr:rowOff>219075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4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25</xdr:row>
          <xdr:rowOff>28575</xdr:rowOff>
        </xdr:from>
        <xdr:to>
          <xdr:col>11</xdr:col>
          <xdr:colOff>133350</xdr:colOff>
          <xdr:row>25</xdr:row>
          <xdr:rowOff>228600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4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123825</xdr:colOff>
          <xdr:row>25</xdr:row>
          <xdr:rowOff>19050</xdr:rowOff>
        </xdr:from>
        <xdr:to>
          <xdr:col>18</xdr:col>
          <xdr:colOff>76200</xdr:colOff>
          <xdr:row>25</xdr:row>
          <xdr:rowOff>219075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4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33</xdr:row>
          <xdr:rowOff>152400</xdr:rowOff>
        </xdr:from>
        <xdr:to>
          <xdr:col>5</xdr:col>
          <xdr:colOff>142875</xdr:colOff>
          <xdr:row>34</xdr:row>
          <xdr:rowOff>104775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4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33</xdr:row>
          <xdr:rowOff>152400</xdr:rowOff>
        </xdr:from>
        <xdr:to>
          <xdr:col>25</xdr:col>
          <xdr:colOff>38100</xdr:colOff>
          <xdr:row>34</xdr:row>
          <xdr:rowOff>104775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4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33</xdr:row>
          <xdr:rowOff>152400</xdr:rowOff>
        </xdr:from>
        <xdr:to>
          <xdr:col>10</xdr:col>
          <xdr:colOff>38100</xdr:colOff>
          <xdr:row>34</xdr:row>
          <xdr:rowOff>104775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4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9525</xdr:colOff>
          <xdr:row>33</xdr:row>
          <xdr:rowOff>152400</xdr:rowOff>
        </xdr:from>
        <xdr:to>
          <xdr:col>32</xdr:col>
          <xdr:colOff>123825</xdr:colOff>
          <xdr:row>34</xdr:row>
          <xdr:rowOff>104775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4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35</xdr:row>
          <xdr:rowOff>28575</xdr:rowOff>
        </xdr:from>
        <xdr:to>
          <xdr:col>11</xdr:col>
          <xdr:colOff>66675</xdr:colOff>
          <xdr:row>35</xdr:row>
          <xdr:rowOff>228600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4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142875</xdr:colOff>
          <xdr:row>35</xdr:row>
          <xdr:rowOff>28575</xdr:rowOff>
        </xdr:from>
        <xdr:to>
          <xdr:col>18</xdr:col>
          <xdr:colOff>95250</xdr:colOff>
          <xdr:row>35</xdr:row>
          <xdr:rowOff>228600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4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36</xdr:row>
          <xdr:rowOff>142875</xdr:rowOff>
        </xdr:from>
        <xdr:to>
          <xdr:col>27</xdr:col>
          <xdr:colOff>47625</xdr:colOff>
          <xdr:row>37</xdr:row>
          <xdr:rowOff>104775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4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114300</xdr:colOff>
          <xdr:row>36</xdr:row>
          <xdr:rowOff>142875</xdr:rowOff>
        </xdr:from>
        <xdr:to>
          <xdr:col>33</xdr:col>
          <xdr:colOff>66675</xdr:colOff>
          <xdr:row>37</xdr:row>
          <xdr:rowOff>104775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4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114300</xdr:colOff>
          <xdr:row>38</xdr:row>
          <xdr:rowOff>142875</xdr:rowOff>
        </xdr:from>
        <xdr:to>
          <xdr:col>25</xdr:col>
          <xdr:colOff>66675</xdr:colOff>
          <xdr:row>39</xdr:row>
          <xdr:rowOff>104775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4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114300</xdr:colOff>
          <xdr:row>38</xdr:row>
          <xdr:rowOff>152400</xdr:rowOff>
        </xdr:from>
        <xdr:to>
          <xdr:col>17</xdr:col>
          <xdr:colOff>66675</xdr:colOff>
          <xdr:row>39</xdr:row>
          <xdr:rowOff>114300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4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42</xdr:row>
          <xdr:rowOff>19050</xdr:rowOff>
        </xdr:from>
        <xdr:to>
          <xdr:col>12</xdr:col>
          <xdr:colOff>47625</xdr:colOff>
          <xdr:row>42</xdr:row>
          <xdr:rowOff>219075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4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19050</xdr:rowOff>
        </xdr:from>
        <xdr:to>
          <xdr:col>3</xdr:col>
          <xdr:colOff>114300</xdr:colOff>
          <xdr:row>42</xdr:row>
          <xdr:rowOff>219075</xdr:rowOff>
        </xdr:to>
        <xdr:sp macro="" textlink="">
          <xdr:nvSpPr>
            <xdr:cNvPr id="6170" name="Check Box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4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165824</xdr:colOff>
      <xdr:row>0</xdr:row>
      <xdr:rowOff>17358</xdr:rowOff>
    </xdr:from>
    <xdr:to>
      <xdr:col>24</xdr:col>
      <xdr:colOff>271464</xdr:colOff>
      <xdr:row>5</xdr:row>
      <xdr:rowOff>103187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824" y="17358"/>
          <a:ext cx="939078" cy="9430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142080</xdr:colOff>
      <xdr:row>0</xdr:row>
      <xdr:rowOff>9422</xdr:rowOff>
    </xdr:from>
    <xdr:to>
      <xdr:col>24</xdr:col>
      <xdr:colOff>263527</xdr:colOff>
      <xdr:row>5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080" y="9422"/>
          <a:ext cx="954885" cy="95895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34</xdr:row>
          <xdr:rowOff>171450</xdr:rowOff>
        </xdr:from>
        <xdr:to>
          <xdr:col>11</xdr:col>
          <xdr:colOff>38100</xdr:colOff>
          <xdr:row>36</xdr:row>
          <xdr:rowOff>19050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34</xdr:row>
          <xdr:rowOff>171450</xdr:rowOff>
        </xdr:from>
        <xdr:to>
          <xdr:col>7</xdr:col>
          <xdr:colOff>28575</xdr:colOff>
          <xdr:row>36</xdr:row>
          <xdr:rowOff>19050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32</xdr:row>
          <xdr:rowOff>171450</xdr:rowOff>
        </xdr:from>
        <xdr:to>
          <xdr:col>7</xdr:col>
          <xdr:colOff>28575</xdr:colOff>
          <xdr:row>34</xdr:row>
          <xdr:rowOff>19050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32</xdr:row>
          <xdr:rowOff>171450</xdr:rowOff>
        </xdr:from>
        <xdr:to>
          <xdr:col>11</xdr:col>
          <xdr:colOff>47625</xdr:colOff>
          <xdr:row>34</xdr:row>
          <xdr:rowOff>19050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33</xdr:row>
          <xdr:rowOff>0</xdr:rowOff>
        </xdr:from>
        <xdr:to>
          <xdr:col>16</xdr:col>
          <xdr:colOff>47625</xdr:colOff>
          <xdr:row>34</xdr:row>
          <xdr:rowOff>19050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37</xdr:row>
          <xdr:rowOff>0</xdr:rowOff>
        </xdr:from>
        <xdr:to>
          <xdr:col>7</xdr:col>
          <xdr:colOff>19050</xdr:colOff>
          <xdr:row>38</xdr:row>
          <xdr:rowOff>19050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35</xdr:row>
          <xdr:rowOff>0</xdr:rowOff>
        </xdr:from>
        <xdr:to>
          <xdr:col>16</xdr:col>
          <xdr:colOff>47625</xdr:colOff>
          <xdr:row>36</xdr:row>
          <xdr:rowOff>19050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38</xdr:row>
          <xdr:rowOff>171450</xdr:rowOff>
        </xdr:from>
        <xdr:to>
          <xdr:col>11</xdr:col>
          <xdr:colOff>38100</xdr:colOff>
          <xdr:row>40</xdr:row>
          <xdr:rowOff>19050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38</xdr:row>
          <xdr:rowOff>171450</xdr:rowOff>
        </xdr:from>
        <xdr:to>
          <xdr:col>7</xdr:col>
          <xdr:colOff>28575</xdr:colOff>
          <xdr:row>40</xdr:row>
          <xdr:rowOff>19050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39</xdr:row>
          <xdr:rowOff>0</xdr:rowOff>
        </xdr:from>
        <xdr:to>
          <xdr:col>11</xdr:col>
          <xdr:colOff>28575</xdr:colOff>
          <xdr:row>40</xdr:row>
          <xdr:rowOff>19050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6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39</xdr:row>
          <xdr:rowOff>0</xdr:rowOff>
        </xdr:from>
        <xdr:to>
          <xdr:col>7</xdr:col>
          <xdr:colOff>28575</xdr:colOff>
          <xdr:row>40</xdr:row>
          <xdr:rowOff>19050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6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40</xdr:row>
          <xdr:rowOff>171450</xdr:rowOff>
        </xdr:from>
        <xdr:to>
          <xdr:col>11</xdr:col>
          <xdr:colOff>28575</xdr:colOff>
          <xdr:row>42</xdr:row>
          <xdr:rowOff>19050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6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41</xdr:row>
          <xdr:rowOff>0</xdr:rowOff>
        </xdr:from>
        <xdr:to>
          <xdr:col>7</xdr:col>
          <xdr:colOff>28575</xdr:colOff>
          <xdr:row>42</xdr:row>
          <xdr:rowOff>19050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6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39</xdr:row>
          <xdr:rowOff>0</xdr:rowOff>
        </xdr:from>
        <xdr:to>
          <xdr:col>7</xdr:col>
          <xdr:colOff>28575</xdr:colOff>
          <xdr:row>40</xdr:row>
          <xdr:rowOff>19050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6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39</xdr:row>
          <xdr:rowOff>0</xdr:rowOff>
        </xdr:from>
        <xdr:to>
          <xdr:col>16</xdr:col>
          <xdr:colOff>47625</xdr:colOff>
          <xdr:row>40</xdr:row>
          <xdr:rowOff>19050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6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41</xdr:row>
          <xdr:rowOff>0</xdr:rowOff>
        </xdr:from>
        <xdr:to>
          <xdr:col>16</xdr:col>
          <xdr:colOff>47625</xdr:colOff>
          <xdr:row>42</xdr:row>
          <xdr:rowOff>19050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6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42</xdr:row>
          <xdr:rowOff>171450</xdr:rowOff>
        </xdr:from>
        <xdr:to>
          <xdr:col>11</xdr:col>
          <xdr:colOff>28575</xdr:colOff>
          <xdr:row>44</xdr:row>
          <xdr:rowOff>19050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6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43</xdr:row>
          <xdr:rowOff>0</xdr:rowOff>
        </xdr:from>
        <xdr:to>
          <xdr:col>7</xdr:col>
          <xdr:colOff>28575</xdr:colOff>
          <xdr:row>44</xdr:row>
          <xdr:rowOff>19050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6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43</xdr:row>
          <xdr:rowOff>0</xdr:rowOff>
        </xdr:from>
        <xdr:to>
          <xdr:col>16</xdr:col>
          <xdr:colOff>47625</xdr:colOff>
          <xdr:row>44</xdr:row>
          <xdr:rowOff>19050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6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43</xdr:row>
          <xdr:rowOff>0</xdr:rowOff>
        </xdr:from>
        <xdr:to>
          <xdr:col>11</xdr:col>
          <xdr:colOff>28575</xdr:colOff>
          <xdr:row>44</xdr:row>
          <xdr:rowOff>19050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6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43</xdr:row>
          <xdr:rowOff>0</xdr:rowOff>
        </xdr:from>
        <xdr:to>
          <xdr:col>7</xdr:col>
          <xdr:colOff>28575</xdr:colOff>
          <xdr:row>44</xdr:row>
          <xdr:rowOff>19050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6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37</xdr:row>
          <xdr:rowOff>0</xdr:rowOff>
        </xdr:from>
        <xdr:to>
          <xdr:col>16</xdr:col>
          <xdr:colOff>47625</xdr:colOff>
          <xdr:row>38</xdr:row>
          <xdr:rowOff>19050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6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150017</xdr:colOff>
      <xdr:row>0</xdr:row>
      <xdr:rowOff>17359</xdr:rowOff>
    </xdr:from>
    <xdr:to>
      <xdr:col>24</xdr:col>
      <xdr:colOff>271465</xdr:colOff>
      <xdr:row>5</xdr:row>
      <xdr:rowOff>119063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5017" y="17359"/>
          <a:ext cx="954886" cy="95895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30</xdr:row>
          <xdr:rowOff>123825</xdr:rowOff>
        </xdr:from>
        <xdr:to>
          <xdr:col>6</xdr:col>
          <xdr:colOff>266700</xdr:colOff>
          <xdr:row>32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7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30</xdr:row>
          <xdr:rowOff>152400</xdr:rowOff>
        </xdr:from>
        <xdr:to>
          <xdr:col>12</xdr:col>
          <xdr:colOff>38100</xdr:colOff>
          <xdr:row>32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7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32</xdr:row>
          <xdr:rowOff>152400</xdr:rowOff>
        </xdr:from>
        <xdr:to>
          <xdr:col>7</xdr:col>
          <xdr:colOff>38100</xdr:colOff>
          <xdr:row>34</xdr:row>
          <xdr:rowOff>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7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32</xdr:row>
          <xdr:rowOff>152400</xdr:rowOff>
        </xdr:from>
        <xdr:to>
          <xdr:col>12</xdr:col>
          <xdr:colOff>38100</xdr:colOff>
          <xdr:row>34</xdr:row>
          <xdr:rowOff>9525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7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47625</xdr:colOff>
          <xdr:row>32</xdr:row>
          <xdr:rowOff>152400</xdr:rowOff>
        </xdr:from>
        <xdr:to>
          <xdr:col>17</xdr:col>
          <xdr:colOff>47625</xdr:colOff>
          <xdr:row>34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7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35</xdr:row>
          <xdr:rowOff>0</xdr:rowOff>
        </xdr:from>
        <xdr:to>
          <xdr:col>7</xdr:col>
          <xdr:colOff>57150</xdr:colOff>
          <xdr:row>36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7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34</xdr:row>
          <xdr:rowOff>161925</xdr:rowOff>
        </xdr:from>
        <xdr:to>
          <xdr:col>10</xdr:col>
          <xdr:colOff>57150</xdr:colOff>
          <xdr:row>36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7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266700</xdr:colOff>
          <xdr:row>34</xdr:row>
          <xdr:rowOff>171450</xdr:rowOff>
        </xdr:from>
        <xdr:to>
          <xdr:col>13</xdr:col>
          <xdr:colOff>114300</xdr:colOff>
          <xdr:row>36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7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19050</xdr:colOff>
          <xdr:row>32</xdr:row>
          <xdr:rowOff>171450</xdr:rowOff>
        </xdr:from>
        <xdr:to>
          <xdr:col>21</xdr:col>
          <xdr:colOff>19050</xdr:colOff>
          <xdr:row>34</xdr:row>
          <xdr:rowOff>28575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7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31</xdr:row>
          <xdr:rowOff>152400</xdr:rowOff>
        </xdr:from>
        <xdr:to>
          <xdr:col>21</xdr:col>
          <xdr:colOff>28575</xdr:colOff>
          <xdr:row>33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7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166689</xdr:colOff>
      <xdr:row>0</xdr:row>
      <xdr:rowOff>25297</xdr:rowOff>
    </xdr:from>
    <xdr:to>
      <xdr:col>24</xdr:col>
      <xdr:colOff>263529</xdr:colOff>
      <xdr:row>5</xdr:row>
      <xdr:rowOff>102288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89" y="25297"/>
          <a:ext cx="930278" cy="93424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9525</xdr:rowOff>
        </xdr:from>
        <xdr:to>
          <xdr:col>2</xdr:col>
          <xdr:colOff>9525</xdr:colOff>
          <xdr:row>7</xdr:row>
          <xdr:rowOff>9525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8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9</xdr:row>
          <xdr:rowOff>0</xdr:rowOff>
        </xdr:from>
        <xdr:to>
          <xdr:col>2</xdr:col>
          <xdr:colOff>19050</xdr:colOff>
          <xdr:row>10</xdr:row>
          <xdr:rowOff>9525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8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174625</xdr:colOff>
      <xdr:row>0</xdr:row>
      <xdr:rowOff>41174</xdr:rowOff>
    </xdr:from>
    <xdr:to>
      <xdr:col>24</xdr:col>
      <xdr:colOff>247654</xdr:colOff>
      <xdr:row>5</xdr:row>
      <xdr:rowOff>94253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625" y="41174"/>
          <a:ext cx="906467" cy="91032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9525</xdr:rowOff>
        </xdr:from>
        <xdr:to>
          <xdr:col>2</xdr:col>
          <xdr:colOff>9525</xdr:colOff>
          <xdr:row>7</xdr:row>
          <xdr:rowOff>9525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9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9</xdr:row>
          <xdr:rowOff>0</xdr:rowOff>
        </xdr:from>
        <xdr:to>
          <xdr:col>2</xdr:col>
          <xdr:colOff>19050</xdr:colOff>
          <xdr:row>10</xdr:row>
          <xdr:rowOff>9525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9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158750</xdr:colOff>
      <xdr:row>0</xdr:row>
      <xdr:rowOff>17358</xdr:rowOff>
    </xdr:from>
    <xdr:to>
      <xdr:col>24</xdr:col>
      <xdr:colOff>271464</xdr:colOff>
      <xdr:row>5</xdr:row>
      <xdr:rowOff>110291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3750" y="17358"/>
          <a:ext cx="946152" cy="950183"/>
        </a:xfrm>
        <a:prstGeom prst="rect">
          <a:avLst/>
        </a:prstGeom>
      </xdr:spPr>
    </xdr:pic>
    <xdr:clientData/>
  </xdr:twoCellAnchor>
  <xdr:twoCellAnchor editAs="oneCell">
    <xdr:from>
      <xdr:col>9</xdr:col>
      <xdr:colOff>214312</xdr:colOff>
      <xdr:row>15</xdr:row>
      <xdr:rowOff>138072</xdr:rowOff>
    </xdr:from>
    <xdr:to>
      <xdr:col>23</xdr:col>
      <xdr:colOff>63500</xdr:colOff>
      <xdr:row>20</xdr:row>
      <xdr:rowOff>60992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4934EEB-7FF9-DE9F-9086-700BA5883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2693947"/>
          <a:ext cx="3619500" cy="8674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157954</xdr:colOff>
      <xdr:row>0</xdr:row>
      <xdr:rowOff>9421</xdr:rowOff>
    </xdr:from>
    <xdr:to>
      <xdr:col>25</xdr:col>
      <xdr:colOff>1590</xdr:colOff>
      <xdr:row>5</xdr:row>
      <xdr:rowOff>111125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2954" y="9421"/>
          <a:ext cx="954886" cy="9589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33</xdr:row>
          <xdr:rowOff>171450</xdr:rowOff>
        </xdr:from>
        <xdr:to>
          <xdr:col>7</xdr:col>
          <xdr:colOff>28575</xdr:colOff>
          <xdr:row>35</xdr:row>
          <xdr:rowOff>19050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C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31</xdr:row>
          <xdr:rowOff>171450</xdr:rowOff>
        </xdr:from>
        <xdr:to>
          <xdr:col>7</xdr:col>
          <xdr:colOff>28575</xdr:colOff>
          <xdr:row>33</xdr:row>
          <xdr:rowOff>19050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C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32</xdr:row>
          <xdr:rowOff>0</xdr:rowOff>
        </xdr:from>
        <xdr:to>
          <xdr:col>16</xdr:col>
          <xdr:colOff>47625</xdr:colOff>
          <xdr:row>33</xdr:row>
          <xdr:rowOff>19050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C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0</xdr:rowOff>
        </xdr:from>
        <xdr:to>
          <xdr:col>7</xdr:col>
          <xdr:colOff>19050</xdr:colOff>
          <xdr:row>37</xdr:row>
          <xdr:rowOff>19050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C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34</xdr:row>
          <xdr:rowOff>0</xdr:rowOff>
        </xdr:from>
        <xdr:to>
          <xdr:col>16</xdr:col>
          <xdr:colOff>47625</xdr:colOff>
          <xdr:row>35</xdr:row>
          <xdr:rowOff>19050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C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37</xdr:row>
          <xdr:rowOff>171450</xdr:rowOff>
        </xdr:from>
        <xdr:to>
          <xdr:col>11</xdr:col>
          <xdr:colOff>38100</xdr:colOff>
          <xdr:row>39</xdr:row>
          <xdr:rowOff>19050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C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37</xdr:row>
          <xdr:rowOff>171450</xdr:rowOff>
        </xdr:from>
        <xdr:to>
          <xdr:col>7</xdr:col>
          <xdr:colOff>28575</xdr:colOff>
          <xdr:row>39</xdr:row>
          <xdr:rowOff>19050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C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38100</xdr:colOff>
          <xdr:row>39</xdr:row>
          <xdr:rowOff>171450</xdr:rowOff>
        </xdr:from>
        <xdr:to>
          <xdr:col>15</xdr:col>
          <xdr:colOff>38100</xdr:colOff>
          <xdr:row>41</xdr:row>
          <xdr:rowOff>19050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C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39</xdr:row>
          <xdr:rowOff>171450</xdr:rowOff>
        </xdr:from>
        <xdr:to>
          <xdr:col>11</xdr:col>
          <xdr:colOff>28575</xdr:colOff>
          <xdr:row>41</xdr:row>
          <xdr:rowOff>19050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C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40</xdr:row>
          <xdr:rowOff>0</xdr:rowOff>
        </xdr:from>
        <xdr:to>
          <xdr:col>7</xdr:col>
          <xdr:colOff>28575</xdr:colOff>
          <xdr:row>41</xdr:row>
          <xdr:rowOff>19050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C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36</xdr:row>
          <xdr:rowOff>0</xdr:rowOff>
        </xdr:from>
        <xdr:to>
          <xdr:col>16</xdr:col>
          <xdr:colOff>47625</xdr:colOff>
          <xdr:row>37</xdr:row>
          <xdr:rowOff>19050</xdr:rowOff>
        </xdr:to>
        <xdr:sp macro="" textlink="">
          <xdr:nvSpPr>
            <xdr:cNvPr id="15383" name="Check Box 23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C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21</xdr:col>
      <xdr:colOff>190500</xdr:colOff>
      <xdr:row>0</xdr:row>
      <xdr:rowOff>17360</xdr:rowOff>
    </xdr:from>
    <xdr:to>
      <xdr:col>25</xdr:col>
      <xdr:colOff>9528</xdr:colOff>
      <xdr:row>5</xdr:row>
      <xdr:rowOff>94352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17360"/>
          <a:ext cx="930278" cy="9342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33</xdr:row>
          <xdr:rowOff>171450</xdr:rowOff>
        </xdr:from>
        <xdr:to>
          <xdr:col>7</xdr:col>
          <xdr:colOff>28575</xdr:colOff>
          <xdr:row>35</xdr:row>
          <xdr:rowOff>19050</xdr:rowOff>
        </xdr:to>
        <xdr:sp macro="" textlink="">
          <xdr:nvSpPr>
            <xdr:cNvPr id="15385" name="Check Box 25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C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31</xdr:row>
          <xdr:rowOff>171450</xdr:rowOff>
        </xdr:from>
        <xdr:to>
          <xdr:col>7</xdr:col>
          <xdr:colOff>28575</xdr:colOff>
          <xdr:row>33</xdr:row>
          <xdr:rowOff>19050</xdr:rowOff>
        </xdr:to>
        <xdr:sp macro="" textlink="">
          <xdr:nvSpPr>
            <xdr:cNvPr id="15386" name="Check Box 26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C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32</xdr:row>
          <xdr:rowOff>0</xdr:rowOff>
        </xdr:from>
        <xdr:to>
          <xdr:col>16</xdr:col>
          <xdr:colOff>47625</xdr:colOff>
          <xdr:row>33</xdr:row>
          <xdr:rowOff>19050</xdr:rowOff>
        </xdr:to>
        <xdr:sp macro="" textlink="">
          <xdr:nvSpPr>
            <xdr:cNvPr id="15388" name="Check Box 28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C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36</xdr:row>
          <xdr:rowOff>0</xdr:rowOff>
        </xdr:from>
        <xdr:to>
          <xdr:col>7</xdr:col>
          <xdr:colOff>19050</xdr:colOff>
          <xdr:row>37</xdr:row>
          <xdr:rowOff>19050</xdr:rowOff>
        </xdr:to>
        <xdr:sp macro="" textlink="">
          <xdr:nvSpPr>
            <xdr:cNvPr id="15389" name="Check Box 29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C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34</xdr:row>
          <xdr:rowOff>0</xdr:rowOff>
        </xdr:from>
        <xdr:to>
          <xdr:col>16</xdr:col>
          <xdr:colOff>47625</xdr:colOff>
          <xdr:row>35</xdr:row>
          <xdr:rowOff>19050</xdr:rowOff>
        </xdr:to>
        <xdr:sp macro="" textlink="">
          <xdr:nvSpPr>
            <xdr:cNvPr id="15390" name="Check Box 30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C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37</xdr:row>
          <xdr:rowOff>171450</xdr:rowOff>
        </xdr:from>
        <xdr:to>
          <xdr:col>7</xdr:col>
          <xdr:colOff>28575</xdr:colOff>
          <xdr:row>39</xdr:row>
          <xdr:rowOff>19050</xdr:rowOff>
        </xdr:to>
        <xdr:sp macro="" textlink="">
          <xdr:nvSpPr>
            <xdr:cNvPr id="15391" name="Check Box 31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C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39</xdr:row>
          <xdr:rowOff>171450</xdr:rowOff>
        </xdr:from>
        <xdr:to>
          <xdr:col>11</xdr:col>
          <xdr:colOff>28575</xdr:colOff>
          <xdr:row>41</xdr:row>
          <xdr:rowOff>19050</xdr:rowOff>
        </xdr:to>
        <xdr:sp macro="" textlink="">
          <xdr:nvSpPr>
            <xdr:cNvPr id="15392" name="Check Box 32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C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40</xdr:row>
          <xdr:rowOff>0</xdr:rowOff>
        </xdr:from>
        <xdr:to>
          <xdr:col>7</xdr:col>
          <xdr:colOff>28575</xdr:colOff>
          <xdr:row>41</xdr:row>
          <xdr:rowOff>19050</xdr:rowOff>
        </xdr:to>
        <xdr:sp macro="" textlink="">
          <xdr:nvSpPr>
            <xdr:cNvPr id="15393" name="Check Box 33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C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36</xdr:row>
          <xdr:rowOff>0</xdr:rowOff>
        </xdr:from>
        <xdr:to>
          <xdr:col>16</xdr:col>
          <xdr:colOff>47625</xdr:colOff>
          <xdr:row>37</xdr:row>
          <xdr:rowOff>19050</xdr:rowOff>
        </xdr:to>
        <xdr:sp macro="" textlink="">
          <xdr:nvSpPr>
            <xdr:cNvPr id="15394" name="Check Box 34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C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205378</xdr:colOff>
      <xdr:row>0</xdr:row>
      <xdr:rowOff>9421</xdr:rowOff>
    </xdr:from>
    <xdr:to>
      <xdr:col>25</xdr:col>
      <xdr:colOff>1591</xdr:colOff>
      <xdr:row>5</xdr:row>
      <xdr:rowOff>63500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378" y="9421"/>
          <a:ext cx="907463" cy="91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ashimoto.k@hakuto-k.jp" TargetMode="External"/><Relationship Id="rId1" Type="http://schemas.openxmlformats.org/officeDocument/2006/relationships/hyperlink" Target="mailto:nagai.s@hakuto-k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.okubo@hivic.co.j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okamura.yuuta@sky-jp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18" Type="http://schemas.openxmlformats.org/officeDocument/2006/relationships/ctrlProp" Target="../ctrlProps/ctrlProp38.xml"/><Relationship Id="rId26" Type="http://schemas.openxmlformats.org/officeDocument/2006/relationships/ctrlProp" Target="../ctrlProps/ctrlProp46.xml"/><Relationship Id="rId3" Type="http://schemas.openxmlformats.org/officeDocument/2006/relationships/drawing" Target="../drawings/drawing6.xml"/><Relationship Id="rId21" Type="http://schemas.openxmlformats.org/officeDocument/2006/relationships/ctrlProp" Target="../ctrlProps/ctrlProp41.x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trlProp" Target="../ctrlProps/ctrlProp37.xml"/><Relationship Id="rId25" Type="http://schemas.openxmlformats.org/officeDocument/2006/relationships/ctrlProp" Target="../ctrlProps/ctrlProp45.xml"/><Relationship Id="rId2" Type="http://schemas.openxmlformats.org/officeDocument/2006/relationships/printerSettings" Target="../printerSettings/printerSettings7.bin"/><Relationship Id="rId16" Type="http://schemas.openxmlformats.org/officeDocument/2006/relationships/ctrlProp" Target="../ctrlProps/ctrlProp36.xml"/><Relationship Id="rId20" Type="http://schemas.openxmlformats.org/officeDocument/2006/relationships/ctrlProp" Target="../ctrlProps/ctrlProp40.xml"/><Relationship Id="rId1" Type="http://schemas.openxmlformats.org/officeDocument/2006/relationships/hyperlink" Target="mailto:tomohito.awano@lixil.com" TargetMode="External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24" Type="http://schemas.openxmlformats.org/officeDocument/2006/relationships/ctrlProp" Target="../ctrlProps/ctrlProp44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23" Type="http://schemas.openxmlformats.org/officeDocument/2006/relationships/ctrlProp" Target="../ctrlProps/ctrlProp43.xml"/><Relationship Id="rId10" Type="http://schemas.openxmlformats.org/officeDocument/2006/relationships/ctrlProp" Target="../ctrlProps/ctrlProp30.xml"/><Relationship Id="rId19" Type="http://schemas.openxmlformats.org/officeDocument/2006/relationships/ctrlProp" Target="../ctrlProps/ctrlProp3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Relationship Id="rId22" Type="http://schemas.openxmlformats.org/officeDocument/2006/relationships/ctrlProp" Target="../ctrlProps/ctrlProp4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9.xml"/><Relationship Id="rId13" Type="http://schemas.openxmlformats.org/officeDocument/2006/relationships/ctrlProp" Target="../ctrlProps/ctrlProp54.xml"/><Relationship Id="rId3" Type="http://schemas.openxmlformats.org/officeDocument/2006/relationships/printerSettings" Target="../printerSettings/printerSettings8.bin"/><Relationship Id="rId7" Type="http://schemas.openxmlformats.org/officeDocument/2006/relationships/ctrlProp" Target="../ctrlProps/ctrlProp48.xml"/><Relationship Id="rId12" Type="http://schemas.openxmlformats.org/officeDocument/2006/relationships/ctrlProp" Target="../ctrlProps/ctrlProp53.xml"/><Relationship Id="rId2" Type="http://schemas.openxmlformats.org/officeDocument/2006/relationships/hyperlink" Target="mailto:ando-m@njkk.co.jp" TargetMode="External"/><Relationship Id="rId1" Type="http://schemas.openxmlformats.org/officeDocument/2006/relationships/hyperlink" Target="mailto:otsukan@denkido.jp" TargetMode="External"/><Relationship Id="rId6" Type="http://schemas.openxmlformats.org/officeDocument/2006/relationships/ctrlProp" Target="../ctrlProps/ctrlProp47.xml"/><Relationship Id="rId11" Type="http://schemas.openxmlformats.org/officeDocument/2006/relationships/ctrlProp" Target="../ctrlProps/ctrlProp52.xml"/><Relationship Id="rId5" Type="http://schemas.openxmlformats.org/officeDocument/2006/relationships/vmlDrawing" Target="../drawings/vmlDrawing3.vml"/><Relationship Id="rId15" Type="http://schemas.openxmlformats.org/officeDocument/2006/relationships/ctrlProp" Target="../ctrlProps/ctrlProp56.xml"/><Relationship Id="rId10" Type="http://schemas.openxmlformats.org/officeDocument/2006/relationships/ctrlProp" Target="../ctrlProps/ctrlProp51.xml"/><Relationship Id="rId4" Type="http://schemas.openxmlformats.org/officeDocument/2006/relationships/drawing" Target="../drawings/drawing7.xml"/><Relationship Id="rId9" Type="http://schemas.openxmlformats.org/officeDocument/2006/relationships/ctrlProp" Target="../ctrlProps/ctrlProp50.xml"/><Relationship Id="rId14" Type="http://schemas.openxmlformats.org/officeDocument/2006/relationships/ctrlProp" Target="../ctrlProps/ctrlProp5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58.xml"/><Relationship Id="rId4" Type="http://schemas.openxmlformats.org/officeDocument/2006/relationships/ctrlProp" Target="../ctrlProps/ctrlProp5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.xml"/><Relationship Id="rId13" Type="http://schemas.openxmlformats.org/officeDocument/2006/relationships/ctrlProp" Target="../ctrlProps/ctrlProp70.xml"/><Relationship Id="rId18" Type="http://schemas.openxmlformats.org/officeDocument/2006/relationships/ctrlProp" Target="../ctrlProps/ctrlProp75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78.xml"/><Relationship Id="rId7" Type="http://schemas.openxmlformats.org/officeDocument/2006/relationships/ctrlProp" Target="../ctrlProps/ctrlProp64.xml"/><Relationship Id="rId12" Type="http://schemas.openxmlformats.org/officeDocument/2006/relationships/ctrlProp" Target="../ctrlProps/ctrlProp69.xml"/><Relationship Id="rId17" Type="http://schemas.openxmlformats.org/officeDocument/2006/relationships/ctrlProp" Target="../ctrlProps/ctrlProp74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73.xml"/><Relationship Id="rId20" Type="http://schemas.openxmlformats.org/officeDocument/2006/relationships/ctrlProp" Target="../ctrlProps/ctrlProp77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63.xml"/><Relationship Id="rId11" Type="http://schemas.openxmlformats.org/officeDocument/2006/relationships/ctrlProp" Target="../ctrlProps/ctrlProp68.xml"/><Relationship Id="rId5" Type="http://schemas.openxmlformats.org/officeDocument/2006/relationships/ctrlProp" Target="../ctrlProps/ctrlProp62.xml"/><Relationship Id="rId15" Type="http://schemas.openxmlformats.org/officeDocument/2006/relationships/ctrlProp" Target="../ctrlProps/ctrlProp72.xml"/><Relationship Id="rId23" Type="http://schemas.openxmlformats.org/officeDocument/2006/relationships/ctrlProp" Target="../ctrlProps/ctrlProp80.xml"/><Relationship Id="rId10" Type="http://schemas.openxmlformats.org/officeDocument/2006/relationships/ctrlProp" Target="../ctrlProps/ctrlProp67.xml"/><Relationship Id="rId19" Type="http://schemas.openxmlformats.org/officeDocument/2006/relationships/ctrlProp" Target="../ctrlProps/ctrlProp76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Relationship Id="rId14" Type="http://schemas.openxmlformats.org/officeDocument/2006/relationships/ctrlProp" Target="../ctrlProps/ctrlProp71.xml"/><Relationship Id="rId22" Type="http://schemas.openxmlformats.org/officeDocument/2006/relationships/ctrlProp" Target="../ctrlProps/ctrlProp7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6236-D9D6-485A-AA21-763B1A9281D0}">
  <dimension ref="B1:M70"/>
  <sheetViews>
    <sheetView workbookViewId="0">
      <selection activeCell="D5" sqref="D5"/>
    </sheetView>
  </sheetViews>
  <sheetFormatPr defaultRowHeight="18.75"/>
  <cols>
    <col min="2" max="2" width="3" customWidth="1"/>
    <col min="4" max="4" width="25.625" customWidth="1"/>
    <col min="5" max="5" width="9.375" bestFit="1" customWidth="1"/>
    <col min="6" max="6" width="22.625" customWidth="1"/>
    <col min="8" max="8" width="22.625" customWidth="1"/>
    <col min="10" max="10" width="42.25" customWidth="1"/>
    <col min="12" max="12" width="26.375" customWidth="1"/>
  </cols>
  <sheetData>
    <row r="1" spans="2:13" ht="19.5" thickBot="1">
      <c r="E1" s="24"/>
    </row>
    <row r="2" spans="2:13" ht="19.5" thickBot="1">
      <c r="B2" s="106" t="s">
        <v>194</v>
      </c>
      <c r="E2" s="164" t="s">
        <v>388</v>
      </c>
      <c r="F2" s="165"/>
    </row>
    <row r="3" spans="2:13">
      <c r="B3" s="107"/>
      <c r="C3" s="108"/>
      <c r="D3" s="108" t="s">
        <v>214</v>
      </c>
      <c r="E3" s="108"/>
      <c r="F3" s="108"/>
      <c r="G3" s="109"/>
    </row>
    <row r="4" spans="2:13">
      <c r="B4" s="110"/>
      <c r="C4" s="25" t="s">
        <v>0</v>
      </c>
      <c r="D4" s="25" t="s">
        <v>382</v>
      </c>
      <c r="E4" s="125" t="s">
        <v>211</v>
      </c>
      <c r="F4" s="25" t="s">
        <v>383</v>
      </c>
      <c r="G4" s="111"/>
    </row>
    <row r="5" spans="2:13">
      <c r="B5" s="110"/>
      <c r="C5" s="25" t="s">
        <v>215</v>
      </c>
      <c r="D5" s="30" t="s">
        <v>212</v>
      </c>
      <c r="E5" s="25"/>
      <c r="F5" s="25"/>
      <c r="G5" s="111"/>
    </row>
    <row r="6" spans="2:13">
      <c r="B6" s="110"/>
      <c r="C6" s="25"/>
      <c r="D6" s="25"/>
      <c r="E6" s="25"/>
      <c r="F6" s="25"/>
      <c r="G6" s="111"/>
    </row>
    <row r="7" spans="2:13">
      <c r="B7" s="110"/>
      <c r="C7" s="26" t="s">
        <v>51</v>
      </c>
      <c r="D7" s="25" t="s">
        <v>384</v>
      </c>
      <c r="E7" s="25"/>
      <c r="F7" s="25"/>
      <c r="G7" s="111"/>
    </row>
    <row r="8" spans="2:13">
      <c r="B8" s="110"/>
      <c r="C8" s="25"/>
      <c r="D8" s="25"/>
      <c r="E8" s="25"/>
      <c r="F8" s="25"/>
      <c r="G8" s="112"/>
      <c r="J8" s="24"/>
      <c r="K8" s="24"/>
      <c r="L8" s="24"/>
      <c r="M8" s="24"/>
    </row>
    <row r="9" spans="2:13">
      <c r="B9" s="110"/>
      <c r="C9" s="25" t="s">
        <v>209</v>
      </c>
      <c r="D9" s="25" t="s">
        <v>213</v>
      </c>
      <c r="E9" s="27"/>
      <c r="F9" s="25"/>
      <c r="G9" s="112"/>
    </row>
    <row r="10" spans="2:13">
      <c r="B10" s="110"/>
      <c r="C10" s="25"/>
      <c r="D10" s="25"/>
      <c r="E10" s="25"/>
      <c r="F10" s="25"/>
      <c r="G10" s="111"/>
      <c r="J10" s="24"/>
      <c r="K10" s="24"/>
      <c r="L10" s="24"/>
      <c r="M10" s="24"/>
    </row>
    <row r="11" spans="2:13">
      <c r="B11" s="110"/>
      <c r="C11" s="25" t="s">
        <v>18</v>
      </c>
      <c r="D11" s="25" t="s">
        <v>252</v>
      </c>
      <c r="E11" s="25" t="str">
        <f>VLOOKUP($D11,入力シート!$E$43:$F$52,2,FALSE)</f>
        <v>aoshima.s@hakuto-k.jp</v>
      </c>
      <c r="F11" s="25"/>
      <c r="G11" s="112"/>
      <c r="M11" s="24"/>
    </row>
    <row r="12" spans="2:13">
      <c r="B12" s="110"/>
      <c r="C12" s="25"/>
      <c r="D12" s="25"/>
      <c r="E12" s="27"/>
      <c r="F12" s="25"/>
      <c r="G12" s="112"/>
      <c r="M12" s="24"/>
    </row>
    <row r="13" spans="2:13">
      <c r="B13" s="110"/>
      <c r="C13" s="25" t="s">
        <v>43</v>
      </c>
      <c r="D13" s="25"/>
      <c r="E13" s="25" t="e">
        <f>VLOOKUP($D13,入力シート!$G$43:$H$47,2,FALSE)</f>
        <v>#N/A</v>
      </c>
      <c r="F13" s="25"/>
      <c r="G13" s="112"/>
      <c r="M13" s="24"/>
    </row>
    <row r="14" spans="2:13">
      <c r="B14" s="110"/>
      <c r="C14" s="25"/>
      <c r="D14" s="25"/>
      <c r="E14" s="25"/>
      <c r="F14" s="25"/>
      <c r="G14" s="112"/>
      <c r="M14" s="24"/>
    </row>
    <row r="15" spans="2:13">
      <c r="B15" s="110"/>
      <c r="C15" s="29" t="s">
        <v>353</v>
      </c>
      <c r="D15" s="126" t="s">
        <v>362</v>
      </c>
      <c r="E15" s="27"/>
      <c r="F15" s="25"/>
      <c r="G15" s="112"/>
      <c r="M15" s="24"/>
    </row>
    <row r="16" spans="2:13">
      <c r="B16" s="110"/>
      <c r="C16" s="25"/>
      <c r="D16" s="25"/>
      <c r="E16" s="25"/>
      <c r="F16" s="25"/>
      <c r="G16" s="112"/>
      <c r="J16" s="24"/>
      <c r="K16" s="24"/>
      <c r="L16" s="24"/>
      <c r="M16" s="24"/>
    </row>
    <row r="17" spans="2:13">
      <c r="B17" s="110"/>
      <c r="C17" s="25"/>
      <c r="D17" s="25"/>
      <c r="E17" s="27"/>
      <c r="F17" s="25"/>
      <c r="G17" s="112"/>
    </row>
    <row r="18" spans="2:13" ht="19.5" thickBot="1">
      <c r="B18" s="113"/>
      <c r="C18" s="114"/>
      <c r="D18" s="114"/>
      <c r="E18" s="114"/>
      <c r="F18" s="114"/>
      <c r="G18" s="115"/>
    </row>
    <row r="20" spans="2:13" ht="19.5" thickBot="1">
      <c r="B20" s="24" t="s">
        <v>52</v>
      </c>
    </row>
    <row r="21" spans="2:13">
      <c r="B21" s="107"/>
      <c r="C21" s="108"/>
      <c r="D21" s="108"/>
      <c r="E21" s="108"/>
      <c r="F21" s="108"/>
      <c r="G21" s="109"/>
    </row>
    <row r="22" spans="2:13">
      <c r="B22" s="110"/>
      <c r="C22" s="25" t="s">
        <v>344</v>
      </c>
      <c r="D22" s="25" t="s">
        <v>340</v>
      </c>
      <c r="E22" s="25" t="str">
        <f>VLOOKUP($D22,入力シート!$C$43:$D$48,2,FALSE)</f>
        <v xml:space="preserve">	kurata.tu@hakuto-k.jp</v>
      </c>
      <c r="F22" s="25"/>
      <c r="G22" s="111"/>
      <c r="J22" s="171" t="s">
        <v>375</v>
      </c>
      <c r="L22" s="24"/>
      <c r="M22" s="24"/>
    </row>
    <row r="23" spans="2:13">
      <c r="B23" s="110"/>
      <c r="C23" s="25" t="s">
        <v>345</v>
      </c>
      <c r="D23" s="25" t="s">
        <v>340</v>
      </c>
      <c r="E23" s="25" t="str">
        <f>VLOOKUP($D23,入力シート!$C$43:$D$48,2,FALSE)</f>
        <v xml:space="preserve">	kurata.tu@hakuto-k.jp</v>
      </c>
      <c r="F23" s="25"/>
      <c r="G23" s="112"/>
      <c r="J23" s="171" t="s">
        <v>363</v>
      </c>
      <c r="L23" s="24"/>
      <c r="M23" s="24"/>
    </row>
    <row r="24" spans="2:13">
      <c r="B24" s="110"/>
      <c r="C24" s="25" t="s">
        <v>22</v>
      </c>
      <c r="D24" s="25" t="s">
        <v>351</v>
      </c>
      <c r="E24" s="116" t="str">
        <f>IF(D24=C55,D56,IF(D24=C58,D59))</f>
        <v>k-nishi@proof.ocn.ne.jp</v>
      </c>
      <c r="F24" s="25"/>
      <c r="G24" s="111"/>
      <c r="J24" s="171" t="s">
        <v>364</v>
      </c>
      <c r="L24" s="24"/>
      <c r="M24" s="24"/>
    </row>
    <row r="25" spans="2:13">
      <c r="B25" s="110"/>
      <c r="C25" s="25"/>
      <c r="D25" s="25"/>
      <c r="E25" s="116" t="str">
        <f>IF(D24=C55,D57,IF(D24=C58,D60))</f>
        <v>090-7034-9867</v>
      </c>
      <c r="F25" s="25"/>
      <c r="G25" s="112"/>
      <c r="J25" s="171" t="s">
        <v>365</v>
      </c>
      <c r="L25" s="24"/>
      <c r="M25" s="24"/>
    </row>
    <row r="26" spans="2:13">
      <c r="B26" s="110"/>
      <c r="C26" s="25"/>
      <c r="D26" s="25"/>
      <c r="E26" s="27"/>
      <c r="F26" s="25"/>
      <c r="G26" s="112"/>
      <c r="J26" s="171" t="s">
        <v>366</v>
      </c>
      <c r="M26" s="24"/>
    </row>
    <row r="27" spans="2:13">
      <c r="B27" s="110"/>
      <c r="C27" s="25" t="s">
        <v>23</v>
      </c>
      <c r="D27" s="126" t="s">
        <v>389</v>
      </c>
      <c r="E27" s="25"/>
      <c r="F27" s="25"/>
      <c r="G27" s="111"/>
      <c r="J27" s="171" t="s">
        <v>367</v>
      </c>
      <c r="M27" s="24"/>
    </row>
    <row r="28" spans="2:13">
      <c r="B28" s="110"/>
      <c r="C28" s="25"/>
      <c r="D28" s="126"/>
      <c r="E28" s="27"/>
      <c r="F28" s="25"/>
      <c r="G28" s="112"/>
      <c r="J28" s="171" t="s">
        <v>372</v>
      </c>
      <c r="L28" s="24"/>
    </row>
    <row r="29" spans="2:13">
      <c r="B29" s="110"/>
      <c r="C29" s="25" t="s">
        <v>24</v>
      </c>
      <c r="D29" s="126" t="s">
        <v>387</v>
      </c>
      <c r="E29" s="25"/>
      <c r="F29" s="25"/>
      <c r="G29" s="111"/>
      <c r="J29" s="171" t="s">
        <v>368</v>
      </c>
      <c r="L29" s="24"/>
    </row>
    <row r="30" spans="2:13">
      <c r="B30" s="110"/>
      <c r="C30" s="25"/>
      <c r="D30" s="126"/>
      <c r="E30" s="25"/>
      <c r="F30" s="25"/>
      <c r="G30" s="111"/>
      <c r="J30" s="171" t="s">
        <v>369</v>
      </c>
      <c r="L30" s="28"/>
      <c r="M30" s="24"/>
    </row>
    <row r="31" spans="2:13">
      <c r="B31" s="110"/>
      <c r="C31" s="25" t="s">
        <v>150</v>
      </c>
      <c r="D31" s="126" t="s">
        <v>387</v>
      </c>
      <c r="E31" s="25"/>
      <c r="F31" s="25"/>
      <c r="G31" s="111"/>
      <c r="J31" s="172" t="s">
        <v>370</v>
      </c>
      <c r="L31" s="24"/>
      <c r="M31" s="24"/>
    </row>
    <row r="32" spans="2:13">
      <c r="B32" s="110"/>
      <c r="C32" s="25"/>
      <c r="D32" s="126"/>
      <c r="E32" s="25"/>
      <c r="F32" s="25"/>
      <c r="G32" s="111"/>
      <c r="J32" s="173" t="s">
        <v>374</v>
      </c>
      <c r="L32" s="24"/>
      <c r="M32" s="24"/>
    </row>
    <row r="33" spans="2:13">
      <c r="B33" s="110"/>
      <c r="C33" s="25" t="s">
        <v>371</v>
      </c>
      <c r="D33" s="126"/>
      <c r="E33" s="25"/>
      <c r="F33" s="25"/>
      <c r="G33" s="111"/>
      <c r="J33" s="173" t="s">
        <v>373</v>
      </c>
      <c r="M33" s="24"/>
    </row>
    <row r="34" spans="2:13">
      <c r="B34" s="110"/>
      <c r="C34" s="25"/>
      <c r="D34" s="126"/>
      <c r="E34" s="25"/>
      <c r="F34" s="25"/>
      <c r="G34" s="111"/>
      <c r="J34" s="171" t="s">
        <v>376</v>
      </c>
      <c r="M34" s="24"/>
    </row>
    <row r="35" spans="2:13">
      <c r="B35" s="117"/>
      <c r="C35" s="83" t="s">
        <v>137</v>
      </c>
      <c r="D35" s="127" t="s">
        <v>385</v>
      </c>
      <c r="E35" s="83"/>
      <c r="F35" s="83"/>
      <c r="G35" s="118"/>
      <c r="M35" s="24"/>
    </row>
    <row r="36" spans="2:13">
      <c r="B36" s="117"/>
      <c r="C36" s="83"/>
      <c r="D36" s="128"/>
      <c r="E36" s="83"/>
      <c r="F36" s="83"/>
      <c r="G36" s="118"/>
      <c r="M36" s="24"/>
    </row>
    <row r="37" spans="2:13">
      <c r="B37" s="117"/>
      <c r="C37" s="83" t="s">
        <v>138</v>
      </c>
      <c r="D37" s="126" t="s">
        <v>386</v>
      </c>
      <c r="E37" s="83"/>
      <c r="F37" s="83"/>
      <c r="G37" s="118"/>
      <c r="M37" s="24"/>
    </row>
    <row r="38" spans="2:13" ht="19.5" thickBot="1">
      <c r="B38" s="113"/>
      <c r="C38" s="114"/>
      <c r="D38" s="114"/>
      <c r="E38" s="114"/>
      <c r="F38" s="114"/>
      <c r="G38" s="115"/>
    </row>
    <row r="40" spans="2:13">
      <c r="I40" s="136"/>
    </row>
    <row r="42" spans="2:13" ht="19.5" thickBot="1">
      <c r="C42" s="24" t="s">
        <v>339</v>
      </c>
      <c r="D42" s="24"/>
      <c r="E42" s="24" t="s">
        <v>162</v>
      </c>
      <c r="F42" s="24"/>
      <c r="G42" s="24" t="s">
        <v>163</v>
      </c>
      <c r="H42" s="24"/>
      <c r="K42" s="24"/>
      <c r="L42" s="151"/>
    </row>
    <row r="43" spans="2:13">
      <c r="C43" s="137" t="s">
        <v>242</v>
      </c>
      <c r="D43" s="146" t="s">
        <v>244</v>
      </c>
      <c r="E43" s="142" t="s">
        <v>250</v>
      </c>
      <c r="F43" s="119" t="s">
        <v>291</v>
      </c>
      <c r="G43" s="123" t="s">
        <v>44</v>
      </c>
      <c r="H43" s="119" t="s">
        <v>47</v>
      </c>
      <c r="J43" s="150"/>
      <c r="K43" s="24"/>
      <c r="L43" s="151"/>
    </row>
    <row r="44" spans="2:13">
      <c r="C44" s="143" t="s">
        <v>45</v>
      </c>
      <c r="D44" s="144" t="s">
        <v>46</v>
      </c>
      <c r="E44" s="143" t="s">
        <v>252</v>
      </c>
      <c r="F44" s="140" t="s">
        <v>19</v>
      </c>
      <c r="G44" s="24" t="s">
        <v>245</v>
      </c>
      <c r="H44" s="121" t="s">
        <v>246</v>
      </c>
      <c r="J44" s="152"/>
      <c r="K44" s="24"/>
      <c r="L44" s="153"/>
    </row>
    <row r="45" spans="2:13" ht="19.5" thickBot="1">
      <c r="C45" s="141" t="s">
        <v>340</v>
      </c>
      <c r="D45" s="147" t="s">
        <v>352</v>
      </c>
      <c r="E45" s="143" t="s">
        <v>284</v>
      </c>
      <c r="F45" s="140" t="s">
        <v>292</v>
      </c>
      <c r="G45" s="24" t="s">
        <v>45</v>
      </c>
      <c r="H45" s="121" t="s">
        <v>46</v>
      </c>
      <c r="J45" s="150"/>
      <c r="K45" s="24"/>
      <c r="L45" s="153"/>
    </row>
    <row r="46" spans="2:13" ht="19.5" thickBot="1">
      <c r="C46" s="24" t="s">
        <v>341</v>
      </c>
      <c r="D46" s="28"/>
      <c r="E46" s="143" t="s">
        <v>285</v>
      </c>
      <c r="F46" s="140" t="s">
        <v>152</v>
      </c>
      <c r="G46" s="24" t="s">
        <v>50</v>
      </c>
      <c r="H46" s="120" t="s">
        <v>48</v>
      </c>
      <c r="J46" s="150"/>
      <c r="K46" s="24"/>
      <c r="L46" s="153"/>
    </row>
    <row r="47" spans="2:13" ht="19.5" thickBot="1">
      <c r="C47" s="137" t="s">
        <v>242</v>
      </c>
      <c r="D47" s="146" t="s">
        <v>244</v>
      </c>
      <c r="E47" s="143" t="s">
        <v>251</v>
      </c>
      <c r="F47" s="140" t="s">
        <v>293</v>
      </c>
      <c r="G47" s="148"/>
      <c r="H47" s="122"/>
      <c r="J47" s="154"/>
      <c r="L47" s="153"/>
    </row>
    <row r="48" spans="2:13">
      <c r="C48" s="143" t="s">
        <v>45</v>
      </c>
      <c r="D48" s="144" t="s">
        <v>46</v>
      </c>
      <c r="E48" s="143" t="s">
        <v>286</v>
      </c>
      <c r="F48" s="140" t="s">
        <v>294</v>
      </c>
      <c r="J48" s="150"/>
      <c r="L48" s="153"/>
    </row>
    <row r="49" spans="3:12" ht="19.5" thickBot="1">
      <c r="C49" s="141" t="s">
        <v>340</v>
      </c>
      <c r="D49" s="147" t="s">
        <v>352</v>
      </c>
      <c r="E49" s="143" t="s">
        <v>287</v>
      </c>
      <c r="F49" s="140" t="s">
        <v>295</v>
      </c>
      <c r="J49" s="150"/>
      <c r="L49" s="153"/>
    </row>
    <row r="50" spans="3:12">
      <c r="C50" s="28"/>
      <c r="D50" s="28"/>
      <c r="E50" s="143" t="s">
        <v>288</v>
      </c>
      <c r="F50" s="140" t="s">
        <v>296</v>
      </c>
      <c r="J50" s="150"/>
      <c r="L50" s="153"/>
    </row>
    <row r="51" spans="3:12">
      <c r="C51" s="28"/>
      <c r="D51" s="28"/>
      <c r="E51" s="143" t="s">
        <v>289</v>
      </c>
      <c r="F51" s="140" t="s">
        <v>297</v>
      </c>
      <c r="J51" s="150"/>
      <c r="L51" s="153"/>
    </row>
    <row r="52" spans="3:12" ht="19.5" thickBot="1">
      <c r="C52" s="28"/>
      <c r="D52" s="28"/>
      <c r="E52" s="145" t="s">
        <v>290</v>
      </c>
      <c r="F52" s="149" t="s">
        <v>298</v>
      </c>
      <c r="J52" s="150"/>
      <c r="L52" s="153"/>
    </row>
    <row r="53" spans="3:12">
      <c r="J53" s="152"/>
    </row>
    <row r="54" spans="3:12" ht="19.5" thickBot="1">
      <c r="C54" s="24" t="s">
        <v>164</v>
      </c>
      <c r="D54" s="24"/>
      <c r="E54" s="24" t="s">
        <v>189</v>
      </c>
      <c r="F54" s="24"/>
    </row>
    <row r="55" spans="3:12">
      <c r="C55" s="142" t="s">
        <v>144</v>
      </c>
      <c r="D55" s="146"/>
      <c r="E55" s="137" t="s">
        <v>191</v>
      </c>
      <c r="F55" s="138" t="s">
        <v>190</v>
      </c>
      <c r="H55" s="135"/>
    </row>
    <row r="56" spans="3:12">
      <c r="C56" s="143"/>
      <c r="D56" s="140" t="s">
        <v>20</v>
      </c>
      <c r="E56" s="139" t="s">
        <v>192</v>
      </c>
      <c r="F56" s="140" t="s">
        <v>267</v>
      </c>
      <c r="H56" s="150"/>
      <c r="J56" s="153"/>
    </row>
    <row r="57" spans="3:12">
      <c r="C57" s="162"/>
      <c r="D57" s="163" t="s">
        <v>315</v>
      </c>
      <c r="E57" s="139"/>
      <c r="F57" s="140"/>
      <c r="H57" s="150"/>
      <c r="J57" s="153"/>
    </row>
    <row r="58" spans="3:12">
      <c r="C58" s="143" t="s">
        <v>313</v>
      </c>
      <c r="D58" s="144"/>
      <c r="E58" s="139" t="s">
        <v>193</v>
      </c>
      <c r="F58" s="140" t="s">
        <v>268</v>
      </c>
      <c r="H58" s="150"/>
      <c r="J58" s="153"/>
    </row>
    <row r="59" spans="3:12">
      <c r="C59" s="143"/>
      <c r="D59" s="140" t="s">
        <v>21</v>
      </c>
      <c r="E59" s="139" t="s">
        <v>259</v>
      </c>
      <c r="F59" s="140" t="s">
        <v>269</v>
      </c>
      <c r="H59" s="150"/>
      <c r="J59" s="153"/>
    </row>
    <row r="60" spans="3:12" ht="19.5" thickBot="1">
      <c r="C60" s="145"/>
      <c r="D60" s="147" t="s">
        <v>314</v>
      </c>
      <c r="E60" s="139" t="s">
        <v>260</v>
      </c>
      <c r="F60" s="140" t="s">
        <v>270</v>
      </c>
      <c r="H60" s="150"/>
      <c r="J60" s="153"/>
    </row>
    <row r="61" spans="3:12">
      <c r="E61" s="139" t="s">
        <v>261</v>
      </c>
      <c r="F61" s="140" t="s">
        <v>271</v>
      </c>
      <c r="H61" s="150"/>
      <c r="J61" s="153"/>
    </row>
    <row r="62" spans="3:12">
      <c r="E62" s="139" t="s">
        <v>262</v>
      </c>
      <c r="F62" s="140" t="s">
        <v>277</v>
      </c>
      <c r="H62" s="150"/>
      <c r="J62" s="153"/>
    </row>
    <row r="63" spans="3:12">
      <c r="E63" s="139" t="s">
        <v>263</v>
      </c>
      <c r="F63" s="140" t="s">
        <v>272</v>
      </c>
      <c r="H63" s="150"/>
      <c r="J63" s="153"/>
    </row>
    <row r="64" spans="3:12">
      <c r="E64" s="139" t="s">
        <v>264</v>
      </c>
      <c r="F64" s="140" t="s">
        <v>278</v>
      </c>
      <c r="H64" s="150"/>
      <c r="J64" s="153"/>
    </row>
    <row r="65" spans="5:10">
      <c r="E65" s="139" t="s">
        <v>265</v>
      </c>
      <c r="F65" s="140" t="s">
        <v>279</v>
      </c>
      <c r="H65" s="150"/>
      <c r="J65" s="153"/>
    </row>
    <row r="66" spans="5:10">
      <c r="E66" s="139" t="s">
        <v>266</v>
      </c>
      <c r="F66" s="140" t="s">
        <v>281</v>
      </c>
      <c r="H66" s="150"/>
      <c r="J66" s="153"/>
    </row>
    <row r="67" spans="5:10">
      <c r="E67" s="139" t="s">
        <v>273</v>
      </c>
      <c r="F67" s="140" t="s">
        <v>280</v>
      </c>
      <c r="H67" s="157"/>
      <c r="J67" s="135"/>
    </row>
    <row r="68" spans="5:10">
      <c r="E68" s="155" t="s">
        <v>274</v>
      </c>
      <c r="F68" s="156"/>
      <c r="H68" s="154"/>
    </row>
    <row r="69" spans="5:10">
      <c r="E69" s="139" t="s">
        <v>275</v>
      </c>
      <c r="F69" s="140" t="s">
        <v>282</v>
      </c>
      <c r="H69" s="150"/>
      <c r="J69" s="153"/>
    </row>
    <row r="70" spans="5:10" ht="19.5" thickBot="1">
      <c r="E70" s="141" t="s">
        <v>276</v>
      </c>
      <c r="F70" s="149" t="s">
        <v>283</v>
      </c>
      <c r="H70" s="150"/>
      <c r="J70" s="153"/>
    </row>
  </sheetData>
  <phoneticPr fontId="1"/>
  <dataValidations count="5">
    <dataValidation type="list" allowBlank="1" showInputMessage="1" showErrorMessage="1" sqref="E2" xr:uid="{06516BB9-B06F-47EB-8D6E-7058A934EA2C}">
      <formula1>$E$55:$E$70</formula1>
    </dataValidation>
    <dataValidation type="list" allowBlank="1" showInputMessage="1" showErrorMessage="1" sqref="D22:D23" xr:uid="{E10A23E8-EAF7-4EDE-8149-4FAF2AAEE802}">
      <formula1>$C$43:$C$48</formula1>
    </dataValidation>
    <dataValidation type="list" allowBlank="1" showInputMessage="1" showErrorMessage="1" sqref="D13" xr:uid="{1E960103-CA7D-44FA-B104-B2848F882432}">
      <formula1>$G$43:$G$47</formula1>
    </dataValidation>
    <dataValidation type="list" allowBlank="1" showInputMessage="1" showErrorMessage="1" sqref="D11" xr:uid="{8EE5E287-87CE-4605-BC27-4DB5E96351EB}">
      <formula1>$E$43:$E$52</formula1>
    </dataValidation>
    <dataValidation type="list" allowBlank="1" showInputMessage="1" showErrorMessage="1" sqref="D24" xr:uid="{BAC080AA-AFF0-4672-BA6A-6864269E13D9}">
      <formula1>$C$55:$C$58</formula1>
    </dataValidation>
  </dataValidations>
  <hyperlinks>
    <hyperlink ref="F67" r:id="rId1" xr:uid="{BD02B78B-B803-43E0-8AB2-15830483D1D7}"/>
    <hyperlink ref="F69" r:id="rId2" xr:uid="{55DD5166-206A-409D-869A-61FF8B9772E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D73A-EE49-4A26-8FB5-D4A08072C07A}">
  <dimension ref="A1:AC160"/>
  <sheetViews>
    <sheetView topLeftCell="A17" zoomScale="120" zoomScaleNormal="120" workbookViewId="0">
      <selection activeCell="T23" sqref="T23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28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29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174" t="s">
        <v>247</v>
      </c>
      <c r="C8" s="174"/>
      <c r="D8" s="8" t="s">
        <v>133</v>
      </c>
      <c r="F8" t="s">
        <v>248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B10" s="5" t="s">
        <v>30</v>
      </c>
      <c r="I10" s="11"/>
      <c r="J10" s="11"/>
      <c r="K10" s="11"/>
      <c r="N10" s="5" t="s">
        <v>234</v>
      </c>
      <c r="AC10" s="12"/>
    </row>
    <row r="11" spans="1:29" s="5" customFormat="1" ht="13.5" customHeight="1">
      <c r="B11" s="5" t="s">
        <v>31</v>
      </c>
      <c r="K11" s="11"/>
      <c r="N11" s="5" t="s">
        <v>330</v>
      </c>
      <c r="AC11" s="12"/>
    </row>
    <row r="12" spans="1:29" s="5" customFormat="1" ht="13.5" customHeight="1">
      <c r="B12" s="5" t="s">
        <v>32</v>
      </c>
      <c r="G12" s="5" t="s">
        <v>33</v>
      </c>
      <c r="N12" s="5" t="s">
        <v>235</v>
      </c>
      <c r="S12" s="5" t="s">
        <v>236</v>
      </c>
    </row>
    <row r="13" spans="1:29" s="5" customFormat="1" ht="13.5" customHeight="1">
      <c r="B13" s="5" t="s">
        <v>249</v>
      </c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伊藤友章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N20" s="1" t="s">
        <v>8</v>
      </c>
      <c r="T20" s="1" t="s">
        <v>9</v>
      </c>
    </row>
    <row r="21" spans="2:24" s="1" customFormat="1" ht="13.5" customHeight="1">
      <c r="N21" s="175" t="s">
        <v>379</v>
      </c>
      <c r="O21" s="175"/>
      <c r="P21" s="175"/>
      <c r="Q21" s="175"/>
      <c r="R21" s="175"/>
      <c r="T21" s="175" t="s">
        <v>380</v>
      </c>
      <c r="U21" s="175"/>
      <c r="V21" s="175"/>
      <c r="W21" s="175"/>
      <c r="X21" s="175"/>
    </row>
    <row r="22" spans="2:24" s="1" customFormat="1" ht="13.5" customHeight="1">
      <c r="X22" s="82" t="s">
        <v>136</v>
      </c>
    </row>
    <row r="23" spans="2:24" s="1" customFormat="1" ht="13.5" customHeight="1">
      <c r="B23" s="2" t="s">
        <v>135</v>
      </c>
    </row>
    <row r="24" spans="2:24" s="1" customFormat="1" ht="19.5" customHeight="1">
      <c r="B24" s="18"/>
      <c r="C24" s="23" t="str">
        <f>入力シート!D7</f>
        <v>静岡県掛川市宮脇字五輪田1059番2,1059番9,1060番17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/>
    <row r="26" spans="2:24" s="1" customFormat="1" ht="13.5" customHeight="1"/>
    <row r="27" spans="2:24" s="1" customFormat="1" ht="13.5" customHeight="1">
      <c r="B27" s="21" t="s">
        <v>15</v>
      </c>
      <c r="C27" s="22"/>
      <c r="D27" s="22"/>
      <c r="E27" s="22"/>
      <c r="F27" s="20"/>
      <c r="G27" s="18" t="str">
        <f>入力シート!D11</f>
        <v>青島</v>
      </c>
      <c r="H27" s="18"/>
      <c r="I27" s="18"/>
      <c r="J27" s="18" t="str">
        <f>入力シート!E11</f>
        <v>aoshima.s@hakuto-k.jp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s="1" customFormat="1" ht="13.5" customHeight="1">
      <c r="B28" s="19"/>
      <c r="D28" s="19"/>
    </row>
    <row r="29" spans="2:24" s="1" customFormat="1" ht="13.5" customHeight="1">
      <c r="B29" s="18" t="s">
        <v>49</v>
      </c>
      <c r="C29" s="18"/>
      <c r="D29" s="18"/>
      <c r="E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s="1" customFormat="1" ht="13.5" customHeight="1"/>
    <row r="31" spans="2:24" s="1" customFormat="1" ht="13.5" customHeight="1">
      <c r="B31" s="18"/>
      <c r="C31" s="18"/>
      <c r="D31" s="18"/>
      <c r="E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s="1" customFormat="1" ht="13.5" customHeight="1"/>
    <row r="33" spans="2:24" s="1" customFormat="1" ht="13.5" customHeight="1">
      <c r="B33" s="18"/>
      <c r="C33" s="18"/>
      <c r="D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s="1" customFormat="1" ht="13.5" customHeight="1">
      <c r="E34" s="19"/>
    </row>
    <row r="35" spans="2:24" s="1" customFormat="1" ht="13.5" customHeight="1">
      <c r="B35" s="18"/>
      <c r="C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C37" s="18"/>
      <c r="D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s="1" customFormat="1" ht="13.5" customHeight="1">
      <c r="B38" s="19"/>
      <c r="E38" s="19"/>
    </row>
    <row r="39" spans="2:24" s="1" customFormat="1" ht="13.5" customHeight="1">
      <c r="B39" s="18"/>
      <c r="C39" s="18"/>
      <c r="D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E40" s="19"/>
    </row>
    <row r="41" spans="2:24" s="1" customFormat="1" ht="13.5" customHeight="1">
      <c r="B41" s="18"/>
      <c r="C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6">
    <mergeCell ref="B8:C8"/>
    <mergeCell ref="N21:R21"/>
    <mergeCell ref="T21:X21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ABA8-8CB9-4DB6-BEA2-9F5B81760EDA}">
  <sheetPr>
    <pageSetUpPr fitToPage="1"/>
  </sheetPr>
  <dimension ref="A1:AC159"/>
  <sheetViews>
    <sheetView tabSelected="1" zoomScale="120" zoomScaleNormal="120" workbookViewId="0">
      <selection activeCell="S21" sqref="S21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222</v>
      </c>
      <c r="C7" s="4"/>
      <c r="D7" s="4"/>
      <c r="E7" s="4"/>
      <c r="F7" s="4"/>
      <c r="G7" s="4"/>
      <c r="H7" s="4"/>
      <c r="N7" s="3" t="s">
        <v>392</v>
      </c>
    </row>
    <row r="8" spans="1:29" s="8" customFormat="1" ht="15" customHeight="1">
      <c r="C8" s="176" t="s">
        <v>320</v>
      </c>
      <c r="D8" s="176"/>
      <c r="E8" s="92" t="s">
        <v>130</v>
      </c>
      <c r="F8" s="92"/>
      <c r="G8" s="131" t="s">
        <v>326</v>
      </c>
      <c r="H8" s="92"/>
      <c r="I8" s="92"/>
      <c r="J8" s="92"/>
      <c r="K8" s="92"/>
      <c r="L8" s="92"/>
      <c r="N8" s="311" t="s">
        <v>342</v>
      </c>
      <c r="O8" s="311"/>
      <c r="P8" s="85"/>
      <c r="Q8" s="311" t="str">
        <f>入力シート!D22</f>
        <v>倉田</v>
      </c>
      <c r="R8" s="311"/>
      <c r="S8" s="85" t="str">
        <f>入力シート!E22</f>
        <v xml:space="preserve">	kurata.tu@hakuto-k.jp</v>
      </c>
      <c r="T8" s="85"/>
      <c r="U8" s="85"/>
      <c r="V8" s="85"/>
      <c r="W8" s="85"/>
      <c r="X8" s="85"/>
      <c r="AC8" s="10"/>
    </row>
    <row r="9" spans="1:29" s="8" customFormat="1" ht="13.5" customHeight="1">
      <c r="C9" s="92"/>
      <c r="D9" s="92"/>
      <c r="E9" s="92"/>
      <c r="F9" s="92"/>
      <c r="G9" s="92"/>
      <c r="H9" s="92"/>
      <c r="I9" s="92"/>
      <c r="J9" s="94"/>
      <c r="K9" s="94"/>
      <c r="L9" s="94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C10" s="95" t="s">
        <v>322</v>
      </c>
      <c r="D10" s="95"/>
      <c r="E10" s="95"/>
      <c r="F10" s="95"/>
      <c r="G10" s="95"/>
      <c r="H10" s="95"/>
      <c r="I10" s="95"/>
      <c r="J10" s="96"/>
      <c r="K10" s="96"/>
      <c r="L10" s="96"/>
      <c r="N10" s="5" t="s">
        <v>234</v>
      </c>
      <c r="AC10" s="12"/>
    </row>
    <row r="11" spans="1:29" s="5" customFormat="1" ht="13.5" customHeight="1">
      <c r="C11" s="95" t="s">
        <v>321</v>
      </c>
      <c r="D11" s="95"/>
      <c r="E11" s="95"/>
      <c r="F11" s="95"/>
      <c r="G11" s="95"/>
      <c r="H11" s="95"/>
      <c r="I11" s="95"/>
      <c r="J11" s="95"/>
      <c r="K11" s="95"/>
      <c r="L11" s="96"/>
      <c r="N11" s="5" t="s">
        <v>330</v>
      </c>
      <c r="AC11" s="12"/>
    </row>
    <row r="12" spans="1:29" s="5" customFormat="1" ht="13.5" customHeight="1">
      <c r="C12" s="95" t="s">
        <v>323</v>
      </c>
      <c r="D12" s="95"/>
      <c r="E12" s="95"/>
      <c r="F12" s="95"/>
      <c r="G12" s="95"/>
      <c r="H12" s="95" t="s">
        <v>324</v>
      </c>
      <c r="I12" s="95"/>
      <c r="J12" s="95"/>
      <c r="K12" s="95"/>
      <c r="L12" s="95"/>
      <c r="N12" s="5" t="s">
        <v>235</v>
      </c>
      <c r="S12" s="5" t="s">
        <v>236</v>
      </c>
    </row>
    <row r="13" spans="1:29" s="5" customFormat="1" ht="13.5" customHeight="1">
      <c r="C13" s="5" t="s">
        <v>325</v>
      </c>
      <c r="D13" s="95"/>
      <c r="E13" s="95"/>
      <c r="F13" s="95"/>
      <c r="G13" s="95"/>
      <c r="H13" s="95"/>
      <c r="I13" s="95"/>
      <c r="J13" s="95"/>
      <c r="K13" s="95"/>
      <c r="L13" s="95"/>
    </row>
    <row r="14" spans="1:29" s="5" customFormat="1" ht="13.5" customHeight="1">
      <c r="D14" s="89"/>
      <c r="E14" s="89"/>
      <c r="F14" s="89"/>
      <c r="G14" s="89"/>
      <c r="H14" s="89"/>
      <c r="I14" s="89"/>
      <c r="J14" s="89"/>
      <c r="K14" s="89"/>
      <c r="L14" s="89"/>
    </row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9.5" customHeight="1"/>
    <row r="17" spans="2:24" s="1" customFormat="1" ht="13.5" customHeight="1">
      <c r="B17" s="2" t="s">
        <v>0</v>
      </c>
      <c r="K17" s="7"/>
    </row>
    <row r="18" spans="2:24" s="1" customFormat="1" ht="19.5" customHeight="1">
      <c r="B18" s="18"/>
      <c r="C18" s="23" t="str">
        <f>入力シート!D4</f>
        <v>伊藤友章</v>
      </c>
      <c r="D18" s="18"/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S19" s="1" t="s">
        <v>8</v>
      </c>
    </row>
    <row r="20" spans="2:24" s="1" customFormat="1" ht="13.5" customHeight="1">
      <c r="N20" s="129"/>
      <c r="O20" s="129"/>
      <c r="P20" s="129"/>
      <c r="Q20" s="129"/>
      <c r="R20" s="129"/>
      <c r="S20" s="175" t="s">
        <v>393</v>
      </c>
      <c r="T20" s="175"/>
      <c r="U20" s="175"/>
      <c r="V20" s="175"/>
      <c r="W20" s="175"/>
      <c r="X20" s="129"/>
    </row>
    <row r="21" spans="2:24" s="1" customFormat="1" ht="13.5" customHeight="1"/>
    <row r="22" spans="2:24" s="1" customFormat="1" ht="13.5" customHeight="1">
      <c r="B22" s="2" t="s">
        <v>198</v>
      </c>
    </row>
    <row r="23" spans="2:24" s="1" customFormat="1" ht="19.5" customHeight="1">
      <c r="B23" s="18"/>
      <c r="C23" s="23" t="str">
        <f>入力シート!D7</f>
        <v>静岡県掛川市宮脇字五輪田1059番2,1059番9,1060番17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27</v>
      </c>
      <c r="C28" s="18"/>
      <c r="D28" s="18"/>
      <c r="E28" s="18"/>
      <c r="G28" s="178" t="str">
        <f>入力シート!D29</f>
        <v>2024/11/30</v>
      </c>
      <c r="H28" s="177"/>
      <c r="I28" s="177"/>
      <c r="J28" s="17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26</v>
      </c>
      <c r="C30" s="18"/>
      <c r="D30" s="18"/>
      <c r="E30" s="18"/>
      <c r="G30" s="310" t="str">
        <f>入力シート!D27</f>
        <v>2025/1/14</v>
      </c>
      <c r="H30" s="310"/>
      <c r="I30" s="310"/>
      <c r="J30" s="310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18" t="s">
        <v>12</v>
      </c>
      <c r="C32" s="18"/>
      <c r="D32" s="18"/>
      <c r="G32" s="18" t="str">
        <f>入力シート!D24</f>
        <v>浜岡総合設計事務所　西原　</v>
      </c>
      <c r="H32" s="18"/>
      <c r="I32" s="18"/>
      <c r="J32" s="18"/>
      <c r="K32" s="18"/>
      <c r="L32" s="18"/>
      <c r="M32" s="18"/>
      <c r="N32" s="18" t="s">
        <v>204</v>
      </c>
      <c r="O32" s="18"/>
      <c r="P32" s="18" t="str">
        <f>入力シート!E24</f>
        <v>k-nishi@proof.ocn.ne.jp</v>
      </c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203</v>
      </c>
      <c r="C34" s="18"/>
      <c r="G34" s="18" t="str">
        <f>入力シート!C55</f>
        <v>浜岡総合設計事務所　西原　</v>
      </c>
      <c r="H34" s="18"/>
      <c r="I34" s="18"/>
      <c r="J34" s="18"/>
      <c r="K34" s="18"/>
      <c r="L34" s="18"/>
      <c r="M34" s="18"/>
      <c r="N34" s="18" t="s">
        <v>204</v>
      </c>
      <c r="O34" s="18"/>
      <c r="P34" s="18" t="str">
        <f>入力シート!D56</f>
        <v>k-nishi@proof.ocn.ne.jp</v>
      </c>
      <c r="Q34" s="18"/>
      <c r="R34" s="18"/>
      <c r="S34" s="18"/>
      <c r="T34" s="18"/>
      <c r="U34" s="18"/>
      <c r="V34" s="18"/>
      <c r="W34" s="18"/>
      <c r="X34" s="18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199</v>
      </c>
      <c r="C36" s="18"/>
      <c r="G36" s="177" t="s">
        <v>200</v>
      </c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2:24" s="1" customFormat="1" ht="13.5" customHeight="1">
      <c r="D37" s="19"/>
      <c r="E37" s="19"/>
    </row>
    <row r="38" spans="2:24" s="1" customFormat="1" ht="13.5" customHeight="1">
      <c r="B38" s="1" t="s">
        <v>201</v>
      </c>
      <c r="C38" s="18"/>
      <c r="D38" s="18"/>
      <c r="G38" s="177" t="s">
        <v>359</v>
      </c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2:24" s="1" customFormat="1" ht="13.5" customHeight="1">
      <c r="B39" s="19"/>
      <c r="E39" s="19"/>
    </row>
    <row r="40" spans="2:24" s="1" customFormat="1" ht="13.5" customHeight="1">
      <c r="B40" s="18" t="s">
        <v>10</v>
      </c>
      <c r="C40" s="18"/>
      <c r="D40" s="18"/>
      <c r="G40" s="177">
        <v>2400</v>
      </c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2:24" s="1" customFormat="1" ht="13.5" customHeight="1">
      <c r="D41" s="19"/>
      <c r="E41" s="19"/>
    </row>
    <row r="42" spans="2:24" s="1" customFormat="1" ht="13.5" customHeight="1">
      <c r="B42" s="18"/>
      <c r="C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D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D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68" t="s">
        <v>390</v>
      </c>
      <c r="D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 t="s">
        <v>205</v>
      </c>
      <c r="D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24"/>
      <c r="D52" s="18"/>
      <c r="E52" s="1" t="s">
        <v>206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11">
    <mergeCell ref="C8:D8"/>
    <mergeCell ref="G40:X40"/>
    <mergeCell ref="S20:W20"/>
    <mergeCell ref="G28:J28"/>
    <mergeCell ref="G30:J30"/>
    <mergeCell ref="G36:X36"/>
    <mergeCell ref="G38:X38"/>
    <mergeCell ref="N8:O8"/>
    <mergeCell ref="N9:O9"/>
    <mergeCell ref="Q8:R8"/>
    <mergeCell ref="Q9:R9"/>
  </mergeCells>
  <phoneticPr fontId="1"/>
  <hyperlinks>
    <hyperlink ref="G8" r:id="rId1" xr:uid="{B9CA2757-54E9-4608-8B6F-326A16D3B28A}"/>
  </hyperlinks>
  <pageMargins left="0.43307086614173229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BA08-D732-4E74-B289-7437B2B2F73A}">
  <dimension ref="A1:AC160"/>
  <sheetViews>
    <sheetView zoomScale="120" zoomScaleNormal="120" workbookViewId="0">
      <selection activeCell="Q8" sqref="Q8"/>
    </sheetView>
  </sheetViews>
  <sheetFormatPr defaultRowHeight="18.75"/>
  <cols>
    <col min="1" max="7" width="3.625" customWidth="1"/>
    <col min="8" max="8" width="2.125" customWidth="1"/>
    <col min="9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A6" s="2" t="s">
        <v>310</v>
      </c>
      <c r="I6" s="2" t="s">
        <v>310</v>
      </c>
      <c r="N6" s="2"/>
      <c r="O6" s="2"/>
      <c r="Q6" s="2" t="s">
        <v>1</v>
      </c>
    </row>
    <row r="7" spans="1:29" s="1" customFormat="1" ht="20.100000000000001" customHeight="1">
      <c r="A7" s="3" t="s">
        <v>300</v>
      </c>
      <c r="I7" s="3" t="s">
        <v>304</v>
      </c>
      <c r="Q7" s="3" t="s">
        <v>391</v>
      </c>
    </row>
    <row r="8" spans="1:29" s="8" customFormat="1" ht="15" customHeight="1">
      <c r="B8" s="8" t="s">
        <v>301</v>
      </c>
      <c r="J8" s="8" t="s">
        <v>327</v>
      </c>
      <c r="Q8" s="8" t="s">
        <v>342</v>
      </c>
      <c r="S8" s="174" t="str">
        <f>入力シート!D22</f>
        <v>倉田</v>
      </c>
      <c r="T8" s="174"/>
      <c r="U8" s="174" t="str">
        <f>入力シート!E22</f>
        <v xml:space="preserve">	kurata.tu@hakuto-k.jp</v>
      </c>
      <c r="V8" s="174"/>
      <c r="W8" s="174"/>
      <c r="X8" s="174"/>
      <c r="Y8" s="174"/>
      <c r="AC8" s="10"/>
    </row>
    <row r="9" spans="1:29" s="8" customFormat="1" ht="13.5" customHeight="1">
      <c r="B9" s="181" t="s">
        <v>302</v>
      </c>
      <c r="C9" s="181"/>
      <c r="D9" s="181"/>
      <c r="E9" s="181"/>
      <c r="F9" s="181"/>
      <c r="G9" s="181"/>
      <c r="H9" s="160"/>
      <c r="I9" s="160"/>
      <c r="J9" s="182" t="s">
        <v>328</v>
      </c>
      <c r="K9" s="181"/>
      <c r="L9" s="181"/>
      <c r="M9" s="181"/>
      <c r="N9" s="181"/>
      <c r="O9" s="181"/>
      <c r="Q9" s="174" t="s">
        <v>343</v>
      </c>
      <c r="R9" s="174"/>
      <c r="S9" s="174" t="str">
        <f>入力シート!D23</f>
        <v>倉田</v>
      </c>
      <c r="T9" s="174"/>
      <c r="U9" s="180" t="str">
        <f>入力シート!E23</f>
        <v xml:space="preserve">	kurata.tu@hakuto-k.jp</v>
      </c>
      <c r="V9" s="180"/>
      <c r="W9" s="180"/>
      <c r="X9" s="180"/>
      <c r="Y9" s="180"/>
      <c r="AC9" s="10"/>
    </row>
    <row r="10" spans="1:29" s="5" customFormat="1" ht="13.5" customHeight="1">
      <c r="B10" s="5" t="s">
        <v>303</v>
      </c>
      <c r="J10" s="5" t="s">
        <v>197</v>
      </c>
      <c r="K10" s="11"/>
      <c r="Q10" s="5" t="s">
        <v>234</v>
      </c>
      <c r="AC10" s="12"/>
    </row>
    <row r="11" spans="1:29" s="5" customFormat="1" ht="13.5" customHeight="1">
      <c r="B11" s="5" t="s">
        <v>305</v>
      </c>
      <c r="J11" s="5" t="s">
        <v>308</v>
      </c>
      <c r="K11" s="11"/>
      <c r="Q11" s="5" t="s">
        <v>330</v>
      </c>
      <c r="AC11" s="12"/>
    </row>
    <row r="12" spans="1:29" s="5" customFormat="1" ht="13.5" customHeight="1">
      <c r="A12" s="158"/>
      <c r="B12" s="161" t="s">
        <v>306</v>
      </c>
      <c r="C12" s="158"/>
      <c r="D12" s="158"/>
      <c r="E12" s="158"/>
      <c r="F12" s="158"/>
      <c r="G12" s="158"/>
      <c r="H12" s="158"/>
      <c r="I12" s="158"/>
      <c r="J12" s="161" t="s">
        <v>311</v>
      </c>
      <c r="Q12" s="183" t="s">
        <v>299</v>
      </c>
      <c r="R12" s="183"/>
      <c r="S12" s="183"/>
      <c r="T12" s="183"/>
      <c r="U12" s="183"/>
      <c r="V12" s="183"/>
      <c r="W12" s="183"/>
      <c r="X12" s="183"/>
      <c r="Y12" s="183"/>
    </row>
    <row r="13" spans="1:29" s="5" customFormat="1" ht="13.5" customHeight="1">
      <c r="A13" s="159"/>
      <c r="B13" s="161" t="s">
        <v>307</v>
      </c>
      <c r="C13" s="159"/>
      <c r="D13" s="159"/>
      <c r="E13" s="159"/>
      <c r="F13" s="159"/>
      <c r="G13" s="159"/>
      <c r="H13" s="159"/>
      <c r="I13" s="159"/>
      <c r="J13" s="161" t="s">
        <v>312</v>
      </c>
      <c r="Q13" s="159"/>
      <c r="R13" s="159"/>
      <c r="S13" s="159"/>
      <c r="T13" s="159"/>
      <c r="U13" s="159"/>
      <c r="V13" s="159"/>
      <c r="W13" s="159"/>
      <c r="X13" s="159"/>
      <c r="Y13" s="159"/>
    </row>
    <row r="14" spans="1:29" s="5" customFormat="1" ht="13.5" customHeight="1">
      <c r="B14" s="161" t="s">
        <v>309</v>
      </c>
      <c r="J14" s="161" t="s">
        <v>329</v>
      </c>
    </row>
    <row r="15" spans="1:29" s="5" customFormat="1" ht="13.5" customHeight="1">
      <c r="B15" s="161"/>
      <c r="J15" s="161"/>
    </row>
    <row r="16" spans="1:29" s="5" customFormat="1" ht="3.6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伊藤友章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S20" s="1" t="s">
        <v>8</v>
      </c>
    </row>
    <row r="21" spans="2:24" s="1" customFormat="1" ht="13.5" customHeight="1">
      <c r="N21" s="129"/>
      <c r="O21" s="129"/>
      <c r="P21" s="129"/>
      <c r="Q21" s="129"/>
      <c r="R21" s="129"/>
      <c r="S21" s="175" t="s">
        <v>221</v>
      </c>
      <c r="T21" s="175"/>
      <c r="U21" s="175"/>
      <c r="V21" s="175"/>
      <c r="W21" s="175"/>
      <c r="X21" s="129"/>
    </row>
    <row r="22" spans="2:24" s="1" customFormat="1" ht="13.5" customHeight="1">
      <c r="B22" s="2" t="s">
        <v>198</v>
      </c>
    </row>
    <row r="23" spans="2:24" s="1" customFormat="1" ht="19.5" customHeight="1">
      <c r="B23" s="18"/>
      <c r="C23" s="23" t="str">
        <f>入力シート!D7</f>
        <v>静岡県掛川市宮脇字五輪田1059番2,1059番9,1060番17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27</v>
      </c>
      <c r="C28" s="18"/>
      <c r="D28" s="18"/>
      <c r="E28" s="18"/>
      <c r="G28" s="178" t="str">
        <f>入力シート!D29</f>
        <v>2024/11/30</v>
      </c>
      <c r="H28" s="177"/>
      <c r="I28" s="177"/>
      <c r="J28" s="17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26</v>
      </c>
      <c r="C30" s="18"/>
      <c r="D30" s="18"/>
      <c r="E30" s="18"/>
      <c r="G30" s="179" t="str">
        <f>入力シート!D27</f>
        <v>2025/1/14</v>
      </c>
      <c r="H30" s="179"/>
      <c r="I30" s="179"/>
      <c r="J30" s="17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18" t="s">
        <v>12</v>
      </c>
      <c r="C32" s="18"/>
      <c r="D32" s="18"/>
      <c r="G32" s="18" t="str">
        <f>入力シート!D24</f>
        <v>浜岡総合設計事務所　西原　</v>
      </c>
      <c r="H32" s="18"/>
      <c r="I32" s="18"/>
      <c r="J32" s="18"/>
      <c r="K32" s="18"/>
      <c r="L32" s="18"/>
      <c r="M32" s="18"/>
      <c r="N32" s="18" t="s">
        <v>204</v>
      </c>
      <c r="O32" s="18"/>
      <c r="P32" s="18" t="str">
        <f>入力シート!E24</f>
        <v>k-nishi@proof.ocn.ne.jp</v>
      </c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P33" s="18" t="str">
        <f>入力シート!E25</f>
        <v>090-7034-9867</v>
      </c>
    </row>
    <row r="34" spans="2:24" s="1" customFormat="1" ht="13.5" customHeight="1">
      <c r="E34" s="19"/>
    </row>
    <row r="35" spans="2:24" s="1" customFormat="1" ht="13.5" customHeight="1">
      <c r="B35" s="18" t="s">
        <v>203</v>
      </c>
      <c r="C35" s="18"/>
      <c r="G35" s="18" t="str">
        <f>入力シート!C55</f>
        <v>浜岡総合設計事務所　西原　</v>
      </c>
      <c r="H35" s="18"/>
      <c r="I35" s="18"/>
      <c r="J35" s="18"/>
      <c r="K35" s="18"/>
      <c r="L35" s="18"/>
      <c r="M35" s="18"/>
      <c r="N35" s="18" t="s">
        <v>204</v>
      </c>
      <c r="O35" s="18"/>
      <c r="P35" s="18" t="str">
        <f>入力シート!D56</f>
        <v>k-nishi@proof.ocn.ne.jp</v>
      </c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B37" s="18" t="s">
        <v>199</v>
      </c>
      <c r="C37" s="18"/>
      <c r="G37" s="177" t="s">
        <v>200</v>
      </c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</row>
    <row r="38" spans="2:24" s="1" customFormat="1" ht="13.5" customHeight="1">
      <c r="D38" s="19"/>
      <c r="E38" s="19"/>
    </row>
    <row r="39" spans="2:24" s="1" customFormat="1" ht="13.5" customHeight="1">
      <c r="B39" s="1" t="s">
        <v>201</v>
      </c>
      <c r="C39" s="18"/>
      <c r="D39" s="18"/>
      <c r="G39" s="177" t="s">
        <v>202</v>
      </c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</row>
    <row r="40" spans="2:24" s="1" customFormat="1" ht="13.5" customHeight="1">
      <c r="B40" s="19"/>
      <c r="E40" s="19"/>
    </row>
    <row r="41" spans="2:24" s="1" customFormat="1" ht="13.5" customHeight="1">
      <c r="B41" s="18" t="s">
        <v>10</v>
      </c>
      <c r="C41" s="18"/>
      <c r="D41" s="18"/>
      <c r="G41" s="177">
        <v>2400</v>
      </c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 t="s">
        <v>219</v>
      </c>
      <c r="D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 t="s">
        <v>220</v>
      </c>
      <c r="D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D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 t="s">
        <v>205</v>
      </c>
      <c r="D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24"/>
      <c r="D53" s="18"/>
      <c r="E53" s="1" t="s">
        <v>206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14">
    <mergeCell ref="Q12:Y12"/>
    <mergeCell ref="Q9:R9"/>
    <mergeCell ref="S21:W21"/>
    <mergeCell ref="G41:X41"/>
    <mergeCell ref="G30:J30"/>
    <mergeCell ref="G37:X37"/>
    <mergeCell ref="G39:X39"/>
    <mergeCell ref="G28:J28"/>
    <mergeCell ref="S8:T8"/>
    <mergeCell ref="S9:T9"/>
    <mergeCell ref="U9:Y9"/>
    <mergeCell ref="U8:Y8"/>
    <mergeCell ref="B9:G9"/>
    <mergeCell ref="J9:O9"/>
  </mergeCells>
  <phoneticPr fontId="1"/>
  <hyperlinks>
    <hyperlink ref="J9" r:id="rId1" xr:uid="{29127986-76B5-41B8-8404-98353DA6E453}"/>
  </hyperlinks>
  <pageMargins left="0.43307086614173229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CD6C-BE31-4D1E-ADEB-C2E7F2129D3D}">
  <dimension ref="A1:AM52"/>
  <sheetViews>
    <sheetView topLeftCell="A33" zoomScale="150" zoomScaleNormal="150" workbookViewId="0">
      <selection activeCell="J39" sqref="J39:AL40"/>
    </sheetView>
  </sheetViews>
  <sheetFormatPr defaultRowHeight="18.75"/>
  <cols>
    <col min="1" max="1" width="0.875" customWidth="1"/>
    <col min="2" max="38" width="2.125" customWidth="1"/>
    <col min="39" max="39" width="0.875" customWidth="1"/>
    <col min="40" max="44" width="2.125" customWidth="1"/>
    <col min="45" max="45" width="2.25" customWidth="1"/>
  </cols>
  <sheetData>
    <row r="1" spans="1:39" ht="5.0999999999999996" customHeight="1"/>
    <row r="2" spans="1:39" ht="21">
      <c r="A2" s="184" t="s">
        <v>67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36"/>
    </row>
    <row r="3" spans="1:39" ht="5.0999999999999996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</row>
    <row r="4" spans="1:39">
      <c r="A4" s="37"/>
      <c r="B4" s="199" t="s">
        <v>253</v>
      </c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1"/>
      <c r="P4" s="196" t="str">
        <f>入力シート!D22</f>
        <v>倉田</v>
      </c>
      <c r="Q4" s="197"/>
      <c r="R4" s="197"/>
      <c r="S4" s="197"/>
      <c r="T4" s="197"/>
      <c r="U4" s="197"/>
      <c r="V4" s="197"/>
      <c r="W4" s="197"/>
      <c r="X4" s="198"/>
      <c r="Y4" s="185" t="s">
        <v>68</v>
      </c>
      <c r="Z4" s="185"/>
      <c r="AA4" s="185"/>
      <c r="AB4" s="185"/>
      <c r="AC4" s="185"/>
      <c r="AD4" s="186" t="s">
        <v>69</v>
      </c>
      <c r="AE4" s="186"/>
      <c r="AF4" s="186"/>
      <c r="AG4" s="186"/>
      <c r="AH4" s="186"/>
      <c r="AI4" s="186"/>
      <c r="AJ4" s="186"/>
      <c r="AK4" s="186"/>
      <c r="AL4" s="186"/>
      <c r="AM4" s="37"/>
    </row>
    <row r="5" spans="1:39">
      <c r="A5" s="37"/>
      <c r="B5" s="187" t="s">
        <v>70</v>
      </c>
      <c r="C5" s="188"/>
      <c r="D5" s="188"/>
      <c r="E5" s="189"/>
      <c r="F5" s="190" t="str">
        <f>入力シート!D7</f>
        <v>静岡県掛川市宮脇字五輪田1059番2,1059番9,1060番17</v>
      </c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2"/>
      <c r="U5" s="193" t="s">
        <v>71</v>
      </c>
      <c r="V5" s="194"/>
      <c r="W5" s="194"/>
      <c r="X5" s="195"/>
      <c r="Y5" s="196" t="str">
        <f>入力シート!D4</f>
        <v>伊藤友章</v>
      </c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8"/>
      <c r="AM5" s="37"/>
    </row>
    <row r="6" spans="1:39">
      <c r="A6" s="37"/>
      <c r="B6" s="205" t="s">
        <v>72</v>
      </c>
      <c r="C6" s="206"/>
      <c r="D6" s="206"/>
      <c r="E6" s="207"/>
      <c r="F6" s="72" t="s">
        <v>106</v>
      </c>
      <c r="G6" s="73"/>
      <c r="H6" s="210">
        <v>2</v>
      </c>
      <c r="I6" s="210"/>
      <c r="J6" s="73" t="s">
        <v>107</v>
      </c>
      <c r="K6" s="73"/>
      <c r="L6" s="73" t="s">
        <v>108</v>
      </c>
      <c r="M6" s="73"/>
      <c r="N6" s="210" t="s">
        <v>357</v>
      </c>
      <c r="O6" s="210"/>
      <c r="P6" s="73" t="s">
        <v>109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4"/>
      <c r="AM6" s="37"/>
    </row>
    <row r="7" spans="1:39">
      <c r="A7" s="37"/>
      <c r="B7" s="185" t="s">
        <v>73</v>
      </c>
      <c r="C7" s="185"/>
      <c r="D7" s="185"/>
      <c r="E7" s="185"/>
      <c r="F7" s="196" t="s">
        <v>358</v>
      </c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8"/>
      <c r="AM7" s="37"/>
    </row>
    <row r="8" spans="1:39" ht="9.9499999999999993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spans="1:39">
      <c r="A9" s="37"/>
      <c r="B9" s="202" t="s">
        <v>74</v>
      </c>
      <c r="C9" s="202"/>
      <c r="D9" s="202"/>
      <c r="E9" s="202"/>
      <c r="F9" s="202"/>
      <c r="G9" s="202"/>
      <c r="H9" s="202"/>
      <c r="I9" s="202"/>
      <c r="J9" s="38"/>
      <c r="K9" s="38"/>
      <c r="L9" s="38"/>
      <c r="M9" s="39"/>
      <c r="N9" s="39"/>
      <c r="O9" s="39"/>
      <c r="P9" s="203" t="s">
        <v>75</v>
      </c>
      <c r="Q9" s="203"/>
      <c r="R9" s="203"/>
      <c r="S9" s="203"/>
      <c r="T9" s="203"/>
      <c r="U9" s="203"/>
      <c r="V9" s="203"/>
      <c r="W9" s="203"/>
      <c r="X9" s="203"/>
      <c r="Y9" s="203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7"/>
    </row>
    <row r="10" spans="1:39" ht="5.0999999999999996" customHeight="1">
      <c r="A10" s="37"/>
      <c r="B10" s="40"/>
      <c r="C10" s="40"/>
      <c r="D10" s="40"/>
      <c r="E10" s="40"/>
      <c r="F10" s="40"/>
      <c r="G10" s="40"/>
      <c r="H10" s="40"/>
      <c r="I10" s="40"/>
      <c r="J10" s="41"/>
      <c r="K10" s="41"/>
      <c r="L10" s="41"/>
      <c r="M10" s="37"/>
      <c r="N10" s="37"/>
      <c r="O10" s="37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spans="1:39">
      <c r="A11" s="37"/>
      <c r="B11" s="64" t="s">
        <v>101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 t="s">
        <v>103</v>
      </c>
      <c r="S11" s="65"/>
      <c r="T11" s="65"/>
      <c r="U11" s="65"/>
      <c r="V11" s="204" t="s">
        <v>104</v>
      </c>
      <c r="W11" s="204"/>
      <c r="X11" s="204"/>
      <c r="Y11" s="70" t="s">
        <v>105</v>
      </c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6"/>
      <c r="AM11" s="37"/>
    </row>
    <row r="12" spans="1:39">
      <c r="A12" s="37"/>
      <c r="B12" s="208" t="s">
        <v>102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71"/>
      <c r="Q12" s="71"/>
      <c r="R12" s="71" t="s">
        <v>103</v>
      </c>
      <c r="S12" s="71"/>
      <c r="T12" s="71"/>
      <c r="U12" s="71"/>
      <c r="V12" s="214" t="s">
        <v>104</v>
      </c>
      <c r="W12" s="214"/>
      <c r="X12" s="214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8"/>
      <c r="AM12" s="37"/>
    </row>
    <row r="13" spans="1:39" ht="9.9499999999999993" customHeight="1">
      <c r="A13" s="3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37"/>
    </row>
    <row r="14" spans="1:39" ht="9.9499999999999993" customHeight="1">
      <c r="A14" s="37"/>
      <c r="B14" s="215" t="s">
        <v>76</v>
      </c>
      <c r="C14" s="215"/>
      <c r="D14" s="215"/>
      <c r="E14" s="215"/>
      <c r="F14" s="215"/>
      <c r="G14" s="215"/>
      <c r="H14" s="215"/>
      <c r="I14" s="215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37"/>
    </row>
    <row r="15" spans="1:39">
      <c r="A15" s="37"/>
      <c r="B15" s="75" t="s">
        <v>110</v>
      </c>
      <c r="C15" s="69"/>
      <c r="D15" s="69"/>
      <c r="E15" s="69"/>
      <c r="F15" s="69"/>
      <c r="G15" s="69"/>
      <c r="H15" s="69"/>
      <c r="I15" s="69"/>
      <c r="J15" s="69"/>
      <c r="K15" s="69"/>
      <c r="L15" s="216"/>
      <c r="M15" s="216"/>
      <c r="N15" s="216"/>
      <c r="O15" s="216"/>
      <c r="P15" s="216"/>
      <c r="Q15" s="216"/>
      <c r="R15" s="216"/>
      <c r="S15" s="69" t="s">
        <v>111</v>
      </c>
      <c r="T15" s="69" t="s">
        <v>112</v>
      </c>
      <c r="U15" s="69"/>
      <c r="V15" s="69"/>
      <c r="W15" s="69"/>
      <c r="X15" s="69"/>
      <c r="Y15" s="69"/>
      <c r="Z15" s="69"/>
      <c r="AA15" s="69"/>
      <c r="AB15" s="216"/>
      <c r="AC15" s="216"/>
      <c r="AD15" s="69" t="s">
        <v>113</v>
      </c>
      <c r="AE15" s="69"/>
      <c r="AF15" s="69"/>
      <c r="AG15" s="79"/>
      <c r="AH15" s="69"/>
      <c r="AI15" s="79" t="s">
        <v>114</v>
      </c>
      <c r="AJ15" s="216"/>
      <c r="AK15" s="216"/>
      <c r="AL15" s="76" t="s">
        <v>111</v>
      </c>
      <c r="AM15" s="37"/>
    </row>
    <row r="16" spans="1:39">
      <c r="A16" s="37"/>
      <c r="B16" s="211" t="s">
        <v>116</v>
      </c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77"/>
      <c r="T16" s="77"/>
      <c r="U16" s="213" t="s">
        <v>115</v>
      </c>
      <c r="V16" s="213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8"/>
      <c r="AM16" s="37"/>
    </row>
    <row r="17" spans="1:39" ht="9.9499999999999993" customHeight="1">
      <c r="A17" s="37"/>
      <c r="B17" s="37"/>
      <c r="C17" s="44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37"/>
      <c r="AM17" s="37"/>
    </row>
    <row r="18" spans="1:39" ht="9.9499999999999993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37"/>
      <c r="AM18" s="37"/>
    </row>
    <row r="19" spans="1:39" ht="24">
      <c r="A19" s="37"/>
      <c r="B19" s="202" t="s">
        <v>77</v>
      </c>
      <c r="C19" s="202"/>
      <c r="D19" s="202"/>
      <c r="E19" s="202"/>
      <c r="F19" s="202"/>
      <c r="G19" s="202"/>
      <c r="H19" s="202"/>
      <c r="I19" s="202"/>
      <c r="J19" s="46"/>
      <c r="K19" s="46"/>
      <c r="L19" s="46"/>
      <c r="M19" s="46"/>
      <c r="N19" s="46"/>
      <c r="O19" s="46"/>
      <c r="P19" s="203" t="s">
        <v>75</v>
      </c>
      <c r="Q19" s="203"/>
      <c r="R19" s="203"/>
      <c r="S19" s="203"/>
      <c r="T19" s="203"/>
      <c r="U19" s="203"/>
      <c r="V19" s="203"/>
      <c r="W19" s="203"/>
      <c r="X19" s="203"/>
      <c r="Y19" s="203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39"/>
      <c r="AM19" s="37"/>
    </row>
    <row r="20" spans="1:39" ht="5.0999999999999996" customHeight="1">
      <c r="A20" s="37"/>
      <c r="B20" s="47"/>
      <c r="C20" s="47"/>
      <c r="D20" s="47"/>
      <c r="E20" s="47"/>
      <c r="F20" s="47"/>
      <c r="G20" s="47"/>
      <c r="H20" s="47"/>
      <c r="I20" s="47"/>
      <c r="J20" s="45"/>
      <c r="K20" s="45"/>
      <c r="L20" s="45"/>
      <c r="M20" s="45"/>
      <c r="N20" s="45"/>
      <c r="O20" s="45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37"/>
      <c r="AM20" s="37"/>
    </row>
    <row r="21" spans="1:39">
      <c r="A21" s="37"/>
      <c r="B21" s="217" t="s">
        <v>121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9"/>
      <c r="AI21" s="48"/>
      <c r="AJ21" s="48"/>
      <c r="AK21" s="48"/>
      <c r="AL21" s="48"/>
      <c r="AM21" s="37"/>
    </row>
    <row r="22" spans="1:39" ht="9.9499999999999993" customHeight="1">
      <c r="A22" s="37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8"/>
      <c r="AJ22" s="48"/>
      <c r="AK22" s="48"/>
      <c r="AL22" s="48"/>
      <c r="AM22" s="37"/>
    </row>
    <row r="23" spans="1:39" ht="9.9499999999999993" customHeight="1">
      <c r="A23" s="37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37"/>
    </row>
    <row r="24" spans="1:39">
      <c r="A24" s="37"/>
      <c r="B24" s="202" t="s">
        <v>78</v>
      </c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20" t="s">
        <v>79</v>
      </c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37"/>
    </row>
    <row r="25" spans="1:39" ht="5.0999999999999996" customHeight="1">
      <c r="A25" s="3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37"/>
    </row>
    <row r="26" spans="1:39">
      <c r="A26" s="37"/>
      <c r="B26" s="221" t="s">
        <v>120</v>
      </c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37"/>
      <c r="AJ26" s="37"/>
      <c r="AK26" s="37"/>
      <c r="AL26" s="37"/>
      <c r="AM26" s="37"/>
    </row>
    <row r="27" spans="1:39" ht="5.0999999999999996" customHeight="1">
      <c r="A27" s="37"/>
      <c r="B27" s="52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37"/>
    </row>
    <row r="28" spans="1:39">
      <c r="A28" s="53"/>
      <c r="B28" s="224" t="s">
        <v>117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8" t="s">
        <v>80</v>
      </c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30"/>
      <c r="AK28" s="37"/>
      <c r="AL28" s="37"/>
      <c r="AM28" s="37"/>
    </row>
    <row r="29" spans="1:39">
      <c r="A29" s="37"/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31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3"/>
      <c r="AK29" s="37"/>
      <c r="AL29" s="37"/>
      <c r="AM29" s="37"/>
    </row>
    <row r="30" spans="1:39" ht="9.9499999999999993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1:39" ht="9.9499999999999993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1:39">
      <c r="A32" s="37"/>
      <c r="B32" s="202" t="s">
        <v>81</v>
      </c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34" t="s">
        <v>82</v>
      </c>
      <c r="V32" s="203"/>
      <c r="W32" s="203"/>
      <c r="X32" s="203"/>
      <c r="Y32" s="203"/>
      <c r="Z32" s="203"/>
      <c r="AA32" s="203"/>
      <c r="AB32" s="203"/>
      <c r="AC32" s="203"/>
      <c r="AD32" s="39"/>
      <c r="AE32" s="39"/>
      <c r="AF32" s="39"/>
      <c r="AG32" s="39"/>
      <c r="AH32" s="39"/>
      <c r="AI32" s="39"/>
      <c r="AJ32" s="39"/>
      <c r="AK32" s="39"/>
      <c r="AL32" s="39"/>
      <c r="AM32" s="37"/>
    </row>
    <row r="33" spans="1:39" ht="9.9499999999999993" customHeight="1" thickBot="1">
      <c r="A33" s="3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54"/>
      <c r="V33" s="42"/>
      <c r="W33" s="42"/>
      <c r="X33" s="42"/>
      <c r="Y33" s="42"/>
      <c r="Z33" s="42"/>
      <c r="AA33" s="42"/>
      <c r="AB33" s="42"/>
      <c r="AC33" s="42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spans="1:39" ht="19.5" thickTop="1">
      <c r="A34" s="37"/>
      <c r="B34" s="235" t="s">
        <v>83</v>
      </c>
      <c r="C34" s="236"/>
      <c r="D34" s="237"/>
      <c r="E34" s="241" t="s">
        <v>119</v>
      </c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3"/>
      <c r="Q34" s="236" t="s">
        <v>84</v>
      </c>
      <c r="R34" s="236"/>
      <c r="S34" s="236"/>
      <c r="T34" s="236"/>
      <c r="U34" s="236"/>
      <c r="V34" s="236"/>
      <c r="W34" s="248"/>
      <c r="X34" s="251" t="s">
        <v>118</v>
      </c>
      <c r="Y34" s="252"/>
      <c r="Z34" s="252"/>
      <c r="AA34" s="252"/>
      <c r="AB34" s="252"/>
      <c r="AC34" s="252"/>
      <c r="AD34" s="252"/>
      <c r="AE34" s="252"/>
      <c r="AF34" s="252"/>
      <c r="AG34" s="252"/>
      <c r="AH34" s="252"/>
      <c r="AI34" s="252"/>
      <c r="AJ34" s="252"/>
      <c r="AK34" s="252"/>
      <c r="AL34" s="253"/>
      <c r="AM34" s="37"/>
    </row>
    <row r="35" spans="1:39" ht="19.5" thickBot="1">
      <c r="A35" s="37"/>
      <c r="B35" s="238"/>
      <c r="C35" s="239"/>
      <c r="D35" s="240"/>
      <c r="E35" s="244"/>
      <c r="F35" s="245"/>
      <c r="G35" s="245"/>
      <c r="H35" s="245"/>
      <c r="I35" s="245"/>
      <c r="J35" s="246"/>
      <c r="K35" s="246"/>
      <c r="L35" s="246"/>
      <c r="M35" s="246"/>
      <c r="N35" s="246"/>
      <c r="O35" s="246"/>
      <c r="P35" s="247"/>
      <c r="Q35" s="249"/>
      <c r="R35" s="249"/>
      <c r="S35" s="249"/>
      <c r="T35" s="249"/>
      <c r="U35" s="249"/>
      <c r="V35" s="249"/>
      <c r="W35" s="250"/>
      <c r="X35" s="254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6"/>
      <c r="AM35" s="37"/>
    </row>
    <row r="36" spans="1:39" ht="20.25" thickTop="1" thickBot="1">
      <c r="A36" s="37"/>
      <c r="B36" s="235" t="s">
        <v>85</v>
      </c>
      <c r="C36" s="236"/>
      <c r="D36" s="236"/>
      <c r="E36" s="236"/>
      <c r="F36" s="236"/>
      <c r="G36" s="236"/>
      <c r="H36" s="236"/>
      <c r="I36" s="236"/>
      <c r="J36" s="55"/>
      <c r="K36" s="56"/>
      <c r="L36" s="300" t="s">
        <v>86</v>
      </c>
      <c r="M36" s="300"/>
      <c r="N36" s="300"/>
      <c r="O36" s="300"/>
      <c r="P36" s="300"/>
      <c r="Q36" s="300"/>
      <c r="R36" s="56"/>
      <c r="S36" s="300" t="s">
        <v>87</v>
      </c>
      <c r="T36" s="300"/>
      <c r="U36" s="300"/>
      <c r="V36" s="300"/>
      <c r="W36" s="300"/>
      <c r="X36" s="301">
        <v>6</v>
      </c>
      <c r="Y36" s="301"/>
      <c r="Z36" s="301"/>
      <c r="AA36" s="301"/>
      <c r="AB36" s="80" t="s">
        <v>88</v>
      </c>
      <c r="AC36" s="57"/>
      <c r="AD36" s="57"/>
      <c r="AE36" s="57"/>
      <c r="AF36" s="57"/>
      <c r="AG36" s="57"/>
      <c r="AH36" s="57"/>
      <c r="AI36" s="57"/>
      <c r="AJ36" s="57"/>
      <c r="AK36" s="57"/>
      <c r="AL36" s="58"/>
      <c r="AM36" s="37"/>
    </row>
    <row r="37" spans="1:39">
      <c r="A37" s="37"/>
      <c r="B37" s="271" t="s">
        <v>89</v>
      </c>
      <c r="C37" s="272"/>
      <c r="D37" s="272"/>
      <c r="E37" s="272"/>
      <c r="F37" s="272"/>
      <c r="G37" s="272"/>
      <c r="H37" s="272"/>
      <c r="I37" s="273"/>
      <c r="J37" s="277">
        <v>1</v>
      </c>
      <c r="K37" s="278"/>
      <c r="L37" s="278"/>
      <c r="M37" s="278"/>
      <c r="N37" s="278"/>
      <c r="O37" s="278"/>
      <c r="P37" s="278" t="s">
        <v>90</v>
      </c>
      <c r="Q37" s="278"/>
      <c r="R37" s="271" t="s">
        <v>91</v>
      </c>
      <c r="S37" s="272"/>
      <c r="T37" s="272"/>
      <c r="U37" s="272"/>
      <c r="V37" s="272"/>
      <c r="W37" s="272"/>
      <c r="X37" s="272"/>
      <c r="Y37" s="273"/>
      <c r="Z37" s="257" t="s">
        <v>122</v>
      </c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8"/>
      <c r="AM37" s="37"/>
    </row>
    <row r="38" spans="1:39" ht="19.5" thickBot="1">
      <c r="A38" s="37"/>
      <c r="B38" s="274"/>
      <c r="C38" s="275"/>
      <c r="D38" s="275"/>
      <c r="E38" s="275"/>
      <c r="F38" s="275"/>
      <c r="G38" s="275"/>
      <c r="H38" s="275"/>
      <c r="I38" s="276"/>
      <c r="J38" s="279"/>
      <c r="K38" s="280"/>
      <c r="L38" s="280"/>
      <c r="M38" s="280"/>
      <c r="N38" s="280"/>
      <c r="O38" s="280"/>
      <c r="P38" s="280"/>
      <c r="Q38" s="280"/>
      <c r="R38" s="274"/>
      <c r="S38" s="275"/>
      <c r="T38" s="275"/>
      <c r="U38" s="275"/>
      <c r="V38" s="275"/>
      <c r="W38" s="275"/>
      <c r="X38" s="275"/>
      <c r="Y38" s="276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60"/>
      <c r="AM38" s="37"/>
    </row>
    <row r="39" spans="1:39">
      <c r="A39" s="37"/>
      <c r="B39" s="261" t="s">
        <v>92</v>
      </c>
      <c r="C39" s="262"/>
      <c r="D39" s="262"/>
      <c r="E39" s="262"/>
      <c r="F39" s="262"/>
      <c r="G39" s="262"/>
      <c r="H39" s="262"/>
      <c r="I39" s="263"/>
      <c r="J39" s="261" t="s">
        <v>123</v>
      </c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3"/>
      <c r="AM39" s="37"/>
    </row>
    <row r="40" spans="1:39" ht="19.5" thickBot="1">
      <c r="A40" s="37"/>
      <c r="B40" s="264"/>
      <c r="C40" s="265"/>
      <c r="D40" s="265"/>
      <c r="E40" s="265"/>
      <c r="F40" s="265"/>
      <c r="G40" s="265"/>
      <c r="H40" s="265"/>
      <c r="I40" s="266"/>
      <c r="J40" s="264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266"/>
      <c r="AM40" s="37"/>
    </row>
    <row r="41" spans="1:39" ht="5.0999999999999996" customHeight="1">
      <c r="A41" s="37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7"/>
    </row>
    <row r="42" spans="1:39" ht="19.5" thickBot="1">
      <c r="A42" s="37"/>
      <c r="B42" s="267" t="s">
        <v>93</v>
      </c>
      <c r="C42" s="267"/>
      <c r="D42" s="267"/>
      <c r="E42" s="267"/>
      <c r="F42" s="267"/>
      <c r="G42" s="267"/>
      <c r="H42" s="267"/>
      <c r="I42" s="267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7"/>
    </row>
    <row r="43" spans="1:39" ht="19.5" thickBot="1">
      <c r="A43" s="37"/>
      <c r="B43" s="268" t="s">
        <v>124</v>
      </c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70"/>
      <c r="AM43" s="37"/>
    </row>
    <row r="44" spans="1:39" ht="5.0999999999999996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</row>
    <row r="45" spans="1:39">
      <c r="A45" s="281" t="s">
        <v>94</v>
      </c>
      <c r="B45" s="281"/>
      <c r="C45" s="281"/>
      <c r="D45" s="281"/>
      <c r="E45" s="281"/>
      <c r="F45" s="281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</row>
    <row r="46" spans="1:39">
      <c r="A46" s="60"/>
      <c r="B46" s="298" t="s">
        <v>95</v>
      </c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9"/>
      <c r="V46" s="299"/>
      <c r="W46" s="299"/>
      <c r="X46" s="299"/>
      <c r="Y46" s="299"/>
      <c r="Z46" s="299"/>
      <c r="AA46" s="299"/>
      <c r="AB46" s="299"/>
      <c r="AC46" s="299"/>
      <c r="AD46" s="60"/>
      <c r="AE46" s="60"/>
      <c r="AF46" s="60"/>
      <c r="AG46" s="60"/>
      <c r="AH46" s="60"/>
      <c r="AI46" s="60"/>
      <c r="AJ46" s="60"/>
      <c r="AK46" s="60"/>
      <c r="AL46" s="60"/>
      <c r="AM46" s="60"/>
    </row>
    <row r="47" spans="1:39">
      <c r="A47" s="60"/>
      <c r="B47" s="282" t="s">
        <v>100</v>
      </c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83"/>
      <c r="AB47" s="283"/>
      <c r="AC47" s="283"/>
      <c r="AD47" s="283"/>
      <c r="AE47" s="283"/>
      <c r="AF47" s="283"/>
      <c r="AG47" s="283"/>
      <c r="AH47" s="283"/>
      <c r="AI47" s="283"/>
      <c r="AJ47" s="283"/>
      <c r="AK47" s="283"/>
      <c r="AL47" s="284"/>
      <c r="AM47" s="60"/>
    </row>
    <row r="48" spans="1:39" ht="19.5" thickBot="1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0"/>
    </row>
    <row r="49" spans="1:39" ht="20.25" thickTop="1" thickBot="1">
      <c r="A49" s="60"/>
      <c r="B49" s="285" t="s">
        <v>96</v>
      </c>
      <c r="C49" s="286"/>
      <c r="D49" s="286"/>
      <c r="E49" s="287"/>
      <c r="F49" s="288"/>
      <c r="G49" s="289"/>
      <c r="H49" s="289"/>
      <c r="I49" s="289"/>
      <c r="J49" s="289"/>
      <c r="K49" s="289"/>
      <c r="L49" s="290"/>
      <c r="M49" s="291" t="s">
        <v>97</v>
      </c>
      <c r="N49" s="292"/>
      <c r="O49" s="292"/>
      <c r="P49" s="292"/>
      <c r="Q49" s="293"/>
      <c r="R49" s="286"/>
      <c r="S49" s="286"/>
      <c r="T49" s="286"/>
      <c r="U49" s="286"/>
      <c r="V49" s="286"/>
      <c r="W49" s="286"/>
      <c r="X49" s="294" t="s">
        <v>98</v>
      </c>
      <c r="Y49" s="295"/>
      <c r="Z49" s="295"/>
      <c r="AA49" s="296"/>
      <c r="AB49" s="294" t="s">
        <v>99</v>
      </c>
      <c r="AC49" s="295"/>
      <c r="AD49" s="295"/>
      <c r="AE49" s="295"/>
      <c r="AF49" s="295"/>
      <c r="AG49" s="295"/>
      <c r="AH49" s="295"/>
      <c r="AI49" s="295"/>
      <c r="AJ49" s="295"/>
      <c r="AK49" s="295"/>
      <c r="AL49" s="297"/>
      <c r="AM49" s="60"/>
    </row>
    <row r="50" spans="1:39" ht="19.5" thickTop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62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37"/>
    </row>
    <row r="51" spans="1:39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</row>
    <row r="52" spans="1:39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</row>
  </sheetData>
  <mergeCells count="63">
    <mergeCell ref="AB15:AC15"/>
    <mergeCell ref="AJ15:AK15"/>
    <mergeCell ref="A45:F45"/>
    <mergeCell ref="B47:AL47"/>
    <mergeCell ref="B49:E49"/>
    <mergeCell ref="F49:L49"/>
    <mergeCell ref="M49:P49"/>
    <mergeCell ref="Q49:W49"/>
    <mergeCell ref="X49:AA49"/>
    <mergeCell ref="AB49:AL49"/>
    <mergeCell ref="B46:T46"/>
    <mergeCell ref="U46:AC46"/>
    <mergeCell ref="B36:I36"/>
    <mergeCell ref="L36:Q36"/>
    <mergeCell ref="S36:W36"/>
    <mergeCell ref="X36:AA36"/>
    <mergeCell ref="Z37:AL38"/>
    <mergeCell ref="B39:I40"/>
    <mergeCell ref="J39:AL40"/>
    <mergeCell ref="B42:I42"/>
    <mergeCell ref="B43:AL43"/>
    <mergeCell ref="B37:I38"/>
    <mergeCell ref="J37:O38"/>
    <mergeCell ref="P37:P38"/>
    <mergeCell ref="Q37:Q38"/>
    <mergeCell ref="R37:Y38"/>
    <mergeCell ref="B32:T32"/>
    <mergeCell ref="U32:AC32"/>
    <mergeCell ref="B34:D35"/>
    <mergeCell ref="E34:P35"/>
    <mergeCell ref="Q34:W35"/>
    <mergeCell ref="X34:AL35"/>
    <mergeCell ref="B21:AH21"/>
    <mergeCell ref="B24:L24"/>
    <mergeCell ref="M24:AL24"/>
    <mergeCell ref="B26:AH26"/>
    <mergeCell ref="B28:N29"/>
    <mergeCell ref="O28:AJ29"/>
    <mergeCell ref="B19:I19"/>
    <mergeCell ref="P19:Y19"/>
    <mergeCell ref="V11:X11"/>
    <mergeCell ref="B6:E6"/>
    <mergeCell ref="B7:E7"/>
    <mergeCell ref="F7:AL7"/>
    <mergeCell ref="B9:I9"/>
    <mergeCell ref="P9:Y9"/>
    <mergeCell ref="B12:O12"/>
    <mergeCell ref="H6:I6"/>
    <mergeCell ref="N6:O6"/>
    <mergeCell ref="B16:R16"/>
    <mergeCell ref="U16:V16"/>
    <mergeCell ref="V12:X12"/>
    <mergeCell ref="B14:I14"/>
    <mergeCell ref="L15:R15"/>
    <mergeCell ref="A2:AL2"/>
    <mergeCell ref="Y4:AC4"/>
    <mergeCell ref="AD4:AL4"/>
    <mergeCell ref="B5:E5"/>
    <mergeCell ref="F5:T5"/>
    <mergeCell ref="U5:X5"/>
    <mergeCell ref="Y5:AL5"/>
    <mergeCell ref="B4:O4"/>
    <mergeCell ref="P4:X4"/>
  </mergeCells>
  <phoneticPr fontId="22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4" name="Check Box 3">
              <controlPr defaultSize="0" autoFill="0" autoLine="0" autoPict="0">
                <anchor moveWithCells="1">
                  <from>
                    <xdr:col>15</xdr:col>
                    <xdr:colOff>133350</xdr:colOff>
                    <xdr:row>10</xdr:row>
                    <xdr:rowOff>9525</xdr:rowOff>
                  </from>
                  <to>
                    <xdr:col>17</xdr:col>
                    <xdr:colOff>47625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5" name="Check Box 4">
              <controlPr defaultSize="0" autoFill="0" autoLine="0" autoPict="0">
                <anchor moveWithCells="1">
                  <from>
                    <xdr:col>15</xdr:col>
                    <xdr:colOff>133350</xdr:colOff>
                    <xdr:row>10</xdr:row>
                    <xdr:rowOff>228600</xdr:rowOff>
                  </from>
                  <to>
                    <xdr:col>17</xdr:col>
                    <xdr:colOff>47625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6" name="Check Box 5">
              <controlPr defaultSize="0" autoFill="0" autoLine="0" autoPict="0">
                <anchor moveWithCells="1">
                  <from>
                    <xdr:col>19</xdr:col>
                    <xdr:colOff>133350</xdr:colOff>
                    <xdr:row>10</xdr:row>
                    <xdr:rowOff>9525</xdr:rowOff>
                  </from>
                  <to>
                    <xdr:col>21</xdr:col>
                    <xdr:colOff>47625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Check Box 6">
              <controlPr defaultSize="0" autoFill="0" autoLine="0" autoPict="0">
                <anchor moveWithCells="1">
                  <from>
                    <xdr:col>19</xdr:col>
                    <xdr:colOff>133350</xdr:colOff>
                    <xdr:row>10</xdr:row>
                    <xdr:rowOff>228600</xdr:rowOff>
                  </from>
                  <to>
                    <xdr:col>21</xdr:col>
                    <xdr:colOff>47625</xdr:colOff>
                    <xdr:row>11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8" name="Check Box 7">
              <controlPr defaultSize="0" autoFill="0" autoLine="0" autoPict="0">
                <anchor moveWithCells="1">
                  <from>
                    <xdr:col>1</xdr:col>
                    <xdr:colOff>76200</xdr:colOff>
                    <xdr:row>20</xdr:row>
                    <xdr:rowOff>19050</xdr:rowOff>
                  </from>
                  <to>
                    <xdr:col>3</xdr:col>
                    <xdr:colOff>28575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9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20</xdr:row>
                    <xdr:rowOff>19050</xdr:rowOff>
                  </from>
                  <to>
                    <xdr:col>8</xdr:col>
                    <xdr:colOff>85725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0" name="Check Box 9">
              <controlPr defaultSize="0" autoFill="0" autoLine="0" autoPict="0">
                <anchor moveWithCells="1">
                  <from>
                    <xdr:col>12</xdr:col>
                    <xdr:colOff>123825</xdr:colOff>
                    <xdr:row>20</xdr:row>
                    <xdr:rowOff>28575</xdr:rowOff>
                  </from>
                  <to>
                    <xdr:col>14</xdr:col>
                    <xdr:colOff>76200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1" name="Check Box 10">
              <controlPr defaultSize="0" autoFill="0" autoLine="0" autoPict="0">
                <anchor moveWithCells="1">
                  <from>
                    <xdr:col>20</xdr:col>
                    <xdr:colOff>104775</xdr:colOff>
                    <xdr:row>20</xdr:row>
                    <xdr:rowOff>38100</xdr:rowOff>
                  </from>
                  <to>
                    <xdr:col>22</xdr:col>
                    <xdr:colOff>57150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2" name="Check Box 11">
              <controlPr defaultSize="0" autoFill="0" autoLine="0" autoPict="0">
                <anchor moveWithCells="1">
                  <from>
                    <xdr:col>27</xdr:col>
                    <xdr:colOff>104775</xdr:colOff>
                    <xdr:row>20</xdr:row>
                    <xdr:rowOff>19050</xdr:rowOff>
                  </from>
                  <to>
                    <xdr:col>29</xdr:col>
                    <xdr:colOff>57150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3" name="Check Box 12">
              <controlPr defaultSize="0" autoFill="0" autoLine="0" autoPict="0">
                <anchor moveWithCells="1">
                  <from>
                    <xdr:col>3</xdr:col>
                    <xdr:colOff>142875</xdr:colOff>
                    <xdr:row>25</xdr:row>
                    <xdr:rowOff>19050</xdr:rowOff>
                  </from>
                  <to>
                    <xdr:col>5</xdr:col>
                    <xdr:colOff>95250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4" name="Check Box 13">
              <controlPr defaultSize="0" autoFill="0" autoLine="0" autoPict="0">
                <anchor moveWithCells="1">
                  <from>
                    <xdr:col>10</xdr:col>
                    <xdr:colOff>19050</xdr:colOff>
                    <xdr:row>25</xdr:row>
                    <xdr:rowOff>28575</xdr:rowOff>
                  </from>
                  <to>
                    <xdr:col>11</xdr:col>
                    <xdr:colOff>133350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5" name="Check Box 14">
              <controlPr defaultSize="0" autoFill="0" autoLine="0" autoPict="0">
                <anchor moveWithCells="1">
                  <from>
                    <xdr:col>16</xdr:col>
                    <xdr:colOff>123825</xdr:colOff>
                    <xdr:row>25</xdr:row>
                    <xdr:rowOff>19050</xdr:rowOff>
                  </from>
                  <to>
                    <xdr:col>18</xdr:col>
                    <xdr:colOff>76200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6" name="Check Box 15">
              <controlPr defaultSize="0" autoFill="0" autoLine="0" autoPict="0">
                <anchor moveWithCells="1">
                  <from>
                    <xdr:col>4</xdr:col>
                    <xdr:colOff>28575</xdr:colOff>
                    <xdr:row>33</xdr:row>
                    <xdr:rowOff>152400</xdr:rowOff>
                  </from>
                  <to>
                    <xdr:col>5</xdr:col>
                    <xdr:colOff>142875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7" name="Check Box 16">
              <controlPr defaultSize="0" autoFill="0" autoLine="0" autoPict="0">
                <anchor moveWithCells="1">
                  <from>
                    <xdr:col>23</xdr:col>
                    <xdr:colOff>85725</xdr:colOff>
                    <xdr:row>33</xdr:row>
                    <xdr:rowOff>152400</xdr:rowOff>
                  </from>
                  <to>
                    <xdr:col>25</xdr:col>
                    <xdr:colOff>38100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8" name="Check Box 17">
              <controlPr defaultSize="0" autoFill="0" autoLine="0" autoPict="0">
                <anchor moveWithCells="1">
                  <from>
                    <xdr:col>8</xdr:col>
                    <xdr:colOff>85725</xdr:colOff>
                    <xdr:row>33</xdr:row>
                    <xdr:rowOff>152400</xdr:rowOff>
                  </from>
                  <to>
                    <xdr:col>10</xdr:col>
                    <xdr:colOff>38100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9" name="Check Box 18">
              <controlPr defaultSize="0" autoFill="0" autoLine="0" autoPict="0">
                <anchor moveWithCells="1">
                  <from>
                    <xdr:col>31</xdr:col>
                    <xdr:colOff>9525</xdr:colOff>
                    <xdr:row>33</xdr:row>
                    <xdr:rowOff>152400</xdr:rowOff>
                  </from>
                  <to>
                    <xdr:col>32</xdr:col>
                    <xdr:colOff>123825</xdr:colOff>
                    <xdr:row>34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0" name="Check Box 19">
              <controlPr defaultSize="0" autoFill="0" autoLine="0" autoPict="0">
                <anchor moveWithCells="1">
                  <from>
                    <xdr:col>9</xdr:col>
                    <xdr:colOff>114300</xdr:colOff>
                    <xdr:row>35</xdr:row>
                    <xdr:rowOff>28575</xdr:rowOff>
                  </from>
                  <to>
                    <xdr:col>11</xdr:col>
                    <xdr:colOff>66675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1" name="Check Box 20">
              <controlPr defaultSize="0" autoFill="0" autoLine="0" autoPict="0">
                <anchor moveWithCells="1">
                  <from>
                    <xdr:col>16</xdr:col>
                    <xdr:colOff>142875</xdr:colOff>
                    <xdr:row>35</xdr:row>
                    <xdr:rowOff>28575</xdr:rowOff>
                  </from>
                  <to>
                    <xdr:col>18</xdr:col>
                    <xdr:colOff>95250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2" name="Check Box 21">
              <controlPr defaultSize="0" autoFill="0" autoLine="0" autoPict="0">
                <anchor moveWithCells="1">
                  <from>
                    <xdr:col>25</xdr:col>
                    <xdr:colOff>95250</xdr:colOff>
                    <xdr:row>36</xdr:row>
                    <xdr:rowOff>142875</xdr:rowOff>
                  </from>
                  <to>
                    <xdr:col>27</xdr:col>
                    <xdr:colOff>47625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3" name="Check Box 22">
              <controlPr defaultSize="0" autoFill="0" autoLine="0" autoPict="0">
                <anchor moveWithCells="1">
                  <from>
                    <xdr:col>31</xdr:col>
                    <xdr:colOff>114300</xdr:colOff>
                    <xdr:row>36</xdr:row>
                    <xdr:rowOff>142875</xdr:rowOff>
                  </from>
                  <to>
                    <xdr:col>33</xdr:col>
                    <xdr:colOff>66675</xdr:colOff>
                    <xdr:row>37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4" name="Check Box 23">
              <controlPr defaultSize="0" autoFill="0" autoLine="0" autoPict="0">
                <anchor moveWithCells="1">
                  <from>
                    <xdr:col>23</xdr:col>
                    <xdr:colOff>114300</xdr:colOff>
                    <xdr:row>38</xdr:row>
                    <xdr:rowOff>142875</xdr:rowOff>
                  </from>
                  <to>
                    <xdr:col>25</xdr:col>
                    <xdr:colOff>66675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5" name="Check Box 24">
              <controlPr defaultSize="0" autoFill="0" autoLine="0" autoPict="0">
                <anchor moveWithCells="1">
                  <from>
                    <xdr:col>15</xdr:col>
                    <xdr:colOff>114300</xdr:colOff>
                    <xdr:row>38</xdr:row>
                    <xdr:rowOff>152400</xdr:rowOff>
                  </from>
                  <to>
                    <xdr:col>17</xdr:col>
                    <xdr:colOff>66675</xdr:colOff>
                    <xdr:row>39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6" name="Check Box 25">
              <controlPr defaultSize="0" autoFill="0" autoLine="0" autoPict="0">
                <anchor moveWithCells="1">
                  <from>
                    <xdr:col>10</xdr:col>
                    <xdr:colOff>95250</xdr:colOff>
                    <xdr:row>42</xdr:row>
                    <xdr:rowOff>19050</xdr:rowOff>
                  </from>
                  <to>
                    <xdr:col>12</xdr:col>
                    <xdr:colOff>47625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27" name="Check Box 26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19050</xdr:rowOff>
                  </from>
                  <to>
                    <xdr:col>3</xdr:col>
                    <xdr:colOff>114300</xdr:colOff>
                    <xdr:row>42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6864-0687-41BB-944F-A5BB43201FAF}">
  <dimension ref="A1:AC160"/>
  <sheetViews>
    <sheetView zoomScale="120" zoomScaleNormal="120" workbookViewId="0">
      <selection activeCell="G42" sqref="G4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129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90" t="s">
        <v>157</v>
      </c>
      <c r="C7" s="91"/>
      <c r="D7" s="91"/>
      <c r="E7" s="91"/>
      <c r="F7" s="91"/>
      <c r="G7" s="91"/>
      <c r="H7" s="91"/>
      <c r="I7" s="90"/>
      <c r="J7" s="90"/>
      <c r="K7" s="90"/>
      <c r="L7" s="87"/>
      <c r="N7" s="3" t="s">
        <v>243</v>
      </c>
    </row>
    <row r="8" spans="1:29" s="8" customFormat="1" ht="15" customHeight="1">
      <c r="B8" s="176" t="s">
        <v>159</v>
      </c>
      <c r="C8" s="176"/>
      <c r="D8" s="92" t="s">
        <v>130</v>
      </c>
      <c r="E8" s="92"/>
      <c r="F8" s="93" t="s">
        <v>158</v>
      </c>
      <c r="G8" s="92"/>
      <c r="H8" s="92"/>
      <c r="I8" s="92"/>
      <c r="J8" s="92"/>
      <c r="K8" s="92"/>
      <c r="L8" s="88"/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B9" s="92"/>
      <c r="C9" s="92"/>
      <c r="D9" s="92"/>
      <c r="E9" s="92"/>
      <c r="F9" s="92"/>
      <c r="G9" s="92"/>
      <c r="H9" s="92"/>
      <c r="I9" s="94"/>
      <c r="J9" s="94"/>
      <c r="K9" s="94"/>
      <c r="L9" s="88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B10" s="95" t="s">
        <v>153</v>
      </c>
      <c r="C10" s="95"/>
      <c r="D10" s="95"/>
      <c r="E10" s="95"/>
      <c r="F10" s="95"/>
      <c r="G10" s="95"/>
      <c r="H10" s="95"/>
      <c r="I10" s="96"/>
      <c r="J10" s="96"/>
      <c r="K10" s="96"/>
      <c r="L10" s="89"/>
      <c r="N10" s="5" t="s">
        <v>234</v>
      </c>
      <c r="AC10" s="12"/>
    </row>
    <row r="11" spans="1:29" s="5" customFormat="1" ht="13.5" customHeight="1">
      <c r="B11" s="95" t="s">
        <v>154</v>
      </c>
      <c r="C11" s="95"/>
      <c r="D11" s="95"/>
      <c r="E11" s="95"/>
      <c r="F11" s="95"/>
      <c r="G11" s="95"/>
      <c r="H11" s="95"/>
      <c r="I11" s="95"/>
      <c r="J11" s="95"/>
      <c r="K11" s="96"/>
      <c r="L11" s="89"/>
      <c r="N11" s="5" t="s">
        <v>330</v>
      </c>
      <c r="AC11" s="12"/>
    </row>
    <row r="12" spans="1:29" s="5" customFormat="1" ht="13.5" customHeight="1">
      <c r="B12" s="95" t="s">
        <v>155</v>
      </c>
      <c r="C12" s="95"/>
      <c r="D12" s="95"/>
      <c r="E12" s="95"/>
      <c r="F12" s="95"/>
      <c r="G12" s="95" t="s">
        <v>156</v>
      </c>
      <c r="H12" s="95"/>
      <c r="I12" s="95"/>
      <c r="J12" s="95"/>
      <c r="K12" s="95"/>
      <c r="L12" s="89"/>
      <c r="N12" s="5" t="s">
        <v>235</v>
      </c>
      <c r="S12" s="5" t="s">
        <v>236</v>
      </c>
    </row>
    <row r="13" spans="1:29" s="5" customFormat="1" ht="13.5" customHeight="1">
      <c r="B13" s="5" t="s">
        <v>223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伊藤友章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T20" s="1" t="s">
        <v>207</v>
      </c>
    </row>
    <row r="21" spans="2:24" s="1" customFormat="1" ht="13.5" customHeight="1">
      <c r="T21" s="175" t="s">
        <v>379</v>
      </c>
      <c r="U21" s="175"/>
      <c r="V21" s="175"/>
      <c r="W21" s="175"/>
      <c r="X21" s="175"/>
    </row>
    <row r="22" spans="2:24" s="1" customFormat="1" ht="13.5" customHeight="1"/>
    <row r="23" spans="2:24" s="1" customFormat="1" ht="13.5" customHeight="1">
      <c r="B23" s="2" t="s">
        <v>135</v>
      </c>
    </row>
    <row r="24" spans="2:24" s="1" customFormat="1" ht="19.5" customHeight="1">
      <c r="B24" s="18"/>
      <c r="C24" s="23" t="str">
        <f>入力シート!D7</f>
        <v>静岡県掛川市宮脇字五輪田1059番2,1059番9,1060番17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/>
    <row r="26" spans="2:24" s="1" customFormat="1" ht="13.5" customHeight="1"/>
    <row r="27" spans="2:24" s="1" customFormat="1" ht="13.5" customHeight="1">
      <c r="B27" s="21" t="s">
        <v>15</v>
      </c>
      <c r="C27" s="22"/>
      <c r="D27" s="22"/>
      <c r="E27" s="22"/>
      <c r="F27" s="20"/>
      <c r="G27" s="18" t="str">
        <f>入力シート!D11</f>
        <v>青島</v>
      </c>
      <c r="H27" s="18"/>
      <c r="I27" s="18"/>
      <c r="J27" s="18" t="str">
        <f>入力シート!E11</f>
        <v>aoshima.s@hakuto-k.jp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s="1" customFormat="1" ht="13.5" customHeight="1">
      <c r="B28" s="19"/>
      <c r="D28" s="19"/>
    </row>
    <row r="29" spans="2:24" s="1" customFormat="1" ht="13.5" customHeight="1">
      <c r="B29" s="22" t="s">
        <v>196</v>
      </c>
      <c r="C29" s="22"/>
      <c r="D29" s="22"/>
      <c r="E29" s="22"/>
      <c r="F29" s="20"/>
      <c r="G29" s="18" t="str">
        <f>入力シート!E2</f>
        <v>平澤</v>
      </c>
      <c r="H29" s="18"/>
      <c r="I29" s="18"/>
      <c r="J29" s="18">
        <f>入力シート!F2</f>
        <v>0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s="1" customFormat="1" ht="13.5" customHeight="1"/>
    <row r="31" spans="2:24" s="1" customFormat="1" ht="13.5" customHeight="1"/>
    <row r="32" spans="2:24" s="1" customFormat="1" ht="13.5" customHeight="1"/>
    <row r="33" spans="2:24" s="1" customFormat="1" ht="13.5" customHeight="1">
      <c r="B33" s="18"/>
      <c r="C33" s="124" t="s">
        <v>195</v>
      </c>
      <c r="D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s="1" customFormat="1" ht="13.5" customHeight="1">
      <c r="E34" s="19"/>
    </row>
    <row r="35" spans="2:24" s="1" customFormat="1" ht="13.5" customHeight="1">
      <c r="B35" s="18"/>
      <c r="C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B37" s="1" t="s">
        <v>188</v>
      </c>
      <c r="C37" s="18"/>
      <c r="D37" s="18"/>
      <c r="G37" s="169" t="s">
        <v>377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s="1" customFormat="1" ht="13.5" customHeight="1">
      <c r="B38" s="19"/>
      <c r="E38" s="19"/>
      <c r="G38" s="170"/>
    </row>
    <row r="39" spans="2:24" s="1" customFormat="1" ht="13.5" customHeight="1">
      <c r="B39" s="18"/>
      <c r="C39" s="18"/>
      <c r="D39" s="18"/>
      <c r="G39" s="18" t="s">
        <v>378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E40" s="19"/>
    </row>
    <row r="41" spans="2:24" s="1" customFormat="1" ht="13.5" customHeight="1">
      <c r="B41" s="18"/>
      <c r="C41" s="18"/>
      <c r="G41" s="18" t="s">
        <v>381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5">
    <mergeCell ref="B8:C8"/>
    <mergeCell ref="T21:X21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479E-DBE2-48E0-B6C6-DD43A6C75B4B}">
  <dimension ref="A1:AC155"/>
  <sheetViews>
    <sheetView zoomScale="120" zoomScaleNormal="120" workbookViewId="0">
      <selection activeCell="AE18" sqref="AE18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331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332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99" t="s">
        <v>333</v>
      </c>
      <c r="C8" s="99"/>
      <c r="D8" s="99" t="s">
        <v>133</v>
      </c>
      <c r="E8" s="99"/>
      <c r="F8" s="131" t="s">
        <v>334</v>
      </c>
      <c r="G8" s="99"/>
      <c r="H8" s="99"/>
      <c r="I8" s="100"/>
      <c r="J8" s="100"/>
      <c r="K8" s="100"/>
      <c r="L8" s="99"/>
      <c r="N8" s="8" t="s">
        <v>342</v>
      </c>
      <c r="Q8" s="174" t="str">
        <f>入力シート!D22</f>
        <v>倉田</v>
      </c>
      <c r="R8" s="174"/>
      <c r="S8" s="85" t="str">
        <f>入力シート!E22</f>
        <v xml:space="preserve">	kurata.tu@hakuto-k.jp</v>
      </c>
      <c r="AC8" s="10"/>
    </row>
    <row r="9" spans="1:29" s="8" customFormat="1" ht="13.5" customHeight="1">
      <c r="B9" s="85"/>
      <c r="C9" s="85"/>
      <c r="D9" s="85"/>
      <c r="E9" s="85"/>
      <c r="F9" s="98"/>
      <c r="G9" s="85"/>
      <c r="H9" s="85"/>
      <c r="I9" s="86"/>
      <c r="J9" s="86"/>
      <c r="K9" s="86"/>
      <c r="L9" s="85"/>
      <c r="N9" s="174" t="s">
        <v>343</v>
      </c>
      <c r="O9" s="174"/>
      <c r="Q9" s="174" t="str">
        <f>入力シート!D23</f>
        <v>倉田</v>
      </c>
      <c r="R9" s="174"/>
      <c r="S9" s="85" t="str">
        <f>入力シート!E23</f>
        <v xml:space="preserve">	kurata.tu@hakuto-k.jp</v>
      </c>
      <c r="AC9" s="10"/>
    </row>
    <row r="10" spans="1:29" s="5" customFormat="1" ht="13.5" customHeight="1">
      <c r="B10" s="5" t="s">
        <v>335</v>
      </c>
      <c r="I10" s="11"/>
      <c r="J10" s="11"/>
      <c r="K10" s="11"/>
      <c r="N10" s="5" t="s">
        <v>234</v>
      </c>
      <c r="AC10" s="12"/>
    </row>
    <row r="11" spans="1:29" s="5" customFormat="1" ht="13.5" customHeight="1">
      <c r="B11" s="5" t="s">
        <v>336</v>
      </c>
      <c r="K11" s="11"/>
      <c r="N11" s="5" t="s">
        <v>330</v>
      </c>
      <c r="AC11" s="12"/>
    </row>
    <row r="12" spans="1:29" s="5" customFormat="1" ht="13.5" customHeight="1">
      <c r="B12" s="5" t="s">
        <v>337</v>
      </c>
      <c r="G12" s="5" t="s">
        <v>338</v>
      </c>
      <c r="N12" s="5" t="s">
        <v>235</v>
      </c>
      <c r="S12" s="5" t="s">
        <v>236</v>
      </c>
    </row>
    <row r="13" spans="1:29" s="5" customFormat="1" ht="13.5" customHeight="1"/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9" s="5" customFormat="1" ht="13.5" customHeight="1"/>
    <row r="18" spans="2:29" s="1" customFormat="1" ht="13.5" customHeight="1">
      <c r="B18" s="2" t="s">
        <v>0</v>
      </c>
      <c r="K18" s="7"/>
    </row>
    <row r="19" spans="2:29" s="1" customFormat="1" ht="19.5" customHeight="1">
      <c r="B19" s="18"/>
      <c r="C19" s="23" t="str">
        <f>入力シート!D4</f>
        <v>伊藤友章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9" s="1" customFormat="1" ht="13.5" customHeight="1">
      <c r="N20" s="1" t="s">
        <v>8</v>
      </c>
      <c r="T20" s="1" t="s">
        <v>41</v>
      </c>
    </row>
    <row r="21" spans="2:29" s="1" customFormat="1" ht="13.5" customHeight="1">
      <c r="N21" s="175" t="s">
        <v>258</v>
      </c>
      <c r="O21" s="175"/>
      <c r="P21" s="175"/>
      <c r="Q21" s="175"/>
      <c r="R21" s="175"/>
      <c r="T21" s="302" t="str">
        <f>入力シート!D15</f>
        <v>モデルにつきSR見学なし</v>
      </c>
      <c r="U21" s="302"/>
      <c r="V21" s="302"/>
      <c r="W21" s="302"/>
      <c r="X21" s="302"/>
      <c r="Y21" s="302"/>
      <c r="AB21" s="174"/>
      <c r="AC21" s="174"/>
    </row>
    <row r="22" spans="2:29" s="1" customFormat="1" ht="13.5" customHeight="1"/>
    <row r="23" spans="2:29" s="1" customFormat="1" ht="13.5" customHeight="1">
      <c r="B23" s="2" t="s">
        <v>135</v>
      </c>
    </row>
    <row r="24" spans="2:29" s="1" customFormat="1" ht="19.5" customHeight="1">
      <c r="B24" s="18"/>
      <c r="C24" s="23" t="str">
        <f>入力シート!D7</f>
        <v>静岡県掛川市宮脇字五輪田1059番2,1059番9,1060番17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9" s="1" customFormat="1" ht="13.5" customHeight="1"/>
    <row r="26" spans="2:29" s="1" customFormat="1" ht="13.5" customHeight="1">
      <c r="B26" s="21" t="s">
        <v>346</v>
      </c>
      <c r="C26" s="22"/>
      <c r="D26" s="22"/>
      <c r="E26" s="22"/>
      <c r="G26" s="18" t="str">
        <f>入力シート!E2</f>
        <v>平澤</v>
      </c>
      <c r="H26" s="18"/>
      <c r="I26" s="18"/>
      <c r="J26" s="18"/>
      <c r="K26" s="18"/>
      <c r="L26" s="18"/>
      <c r="M26" s="18"/>
      <c r="N26" s="166">
        <f>入力シート!F2</f>
        <v>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9" s="1" customFormat="1" ht="13.5" customHeight="1">
      <c r="N27" s="167"/>
    </row>
    <row r="28" spans="2:29" s="1" customFormat="1" ht="13.5" customHeight="1">
      <c r="B28" s="21" t="s">
        <v>15</v>
      </c>
      <c r="C28" s="22"/>
      <c r="D28" s="22"/>
      <c r="E28" s="22"/>
      <c r="F28" s="20"/>
      <c r="G28" s="18" t="str">
        <f>入力シート!D11</f>
        <v>青島</v>
      </c>
      <c r="H28" s="18"/>
      <c r="I28" s="18"/>
      <c r="J28" s="18"/>
      <c r="K28" s="18"/>
      <c r="L28" s="18"/>
      <c r="M28" s="18"/>
      <c r="N28" s="166" t="str">
        <f>入力シート!E11</f>
        <v>aoshima.s@hakuto-k.jp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9" s="1" customFormat="1" ht="13.5" customHeight="1">
      <c r="D29" s="19"/>
      <c r="E29" s="19"/>
      <c r="N29" s="167"/>
    </row>
    <row r="30" spans="2:29" s="1" customFormat="1" ht="13.5" customHeight="1">
      <c r="B30" s="18" t="s">
        <v>42</v>
      </c>
      <c r="C30" s="18"/>
      <c r="E30" s="18"/>
      <c r="G30" s="18">
        <f>入力シート!D13</f>
        <v>0</v>
      </c>
      <c r="H30" s="18"/>
      <c r="I30" s="18"/>
      <c r="J30" s="18"/>
      <c r="K30" s="18"/>
      <c r="L30" s="18"/>
      <c r="M30" s="18"/>
      <c r="N30" s="166" t="e">
        <f>入力シート!E13</f>
        <v>#N/A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9" s="1" customFormat="1" ht="13.5" customHeight="1">
      <c r="B31" s="19"/>
      <c r="D31" s="19"/>
    </row>
    <row r="32" spans="2:29" s="1" customFormat="1" ht="13.5" customHeight="1">
      <c r="B32" s="18" t="s">
        <v>26</v>
      </c>
      <c r="C32" s="18"/>
      <c r="D32" s="18"/>
      <c r="E32" s="18"/>
      <c r="G32" s="18" t="str">
        <f>入力シート!D27</f>
        <v>2025/1/14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/>
    <row r="34" spans="2:24" s="1" customFormat="1" ht="13.5" customHeight="1">
      <c r="B34" s="18" t="s">
        <v>34</v>
      </c>
      <c r="C34" s="18"/>
      <c r="D34" s="18"/>
      <c r="E34" s="18"/>
      <c r="G34" s="81"/>
      <c r="H34" s="18" t="s">
        <v>347</v>
      </c>
      <c r="I34" s="18"/>
      <c r="J34" s="18"/>
      <c r="K34" s="18"/>
      <c r="L34" s="18" t="s">
        <v>348</v>
      </c>
      <c r="M34" s="18"/>
      <c r="N34" s="18"/>
      <c r="O34" s="18"/>
      <c r="P34" s="18"/>
      <c r="Q34" s="18" t="s">
        <v>128</v>
      </c>
      <c r="S34" s="18"/>
      <c r="T34" s="302"/>
      <c r="U34" s="302"/>
      <c r="V34" s="302"/>
      <c r="W34" s="302"/>
      <c r="X34" s="18" t="s">
        <v>127</v>
      </c>
    </row>
    <row r="35" spans="2:24" s="1" customFormat="1" ht="13.5" customHeight="1"/>
    <row r="36" spans="2:24" s="1" customFormat="1" ht="13.5" customHeight="1">
      <c r="B36" s="18" t="s">
        <v>35</v>
      </c>
      <c r="C36" s="18"/>
      <c r="D36" s="18"/>
      <c r="G36" s="81"/>
      <c r="H36" s="18" t="s">
        <v>349</v>
      </c>
      <c r="I36" s="18"/>
      <c r="J36" s="18"/>
      <c r="K36" s="18"/>
      <c r="L36" s="18" t="s">
        <v>350</v>
      </c>
      <c r="M36" s="18"/>
      <c r="N36" s="18"/>
      <c r="O36" s="18"/>
      <c r="P36" s="18"/>
      <c r="Q36" s="18" t="s">
        <v>128</v>
      </c>
      <c r="S36" s="18"/>
      <c r="T36" s="302" t="s">
        <v>356</v>
      </c>
      <c r="U36" s="302"/>
      <c r="V36" s="302"/>
      <c r="W36" s="302"/>
      <c r="X36" s="18" t="s">
        <v>127</v>
      </c>
    </row>
    <row r="37" spans="2:24" s="1" customFormat="1" ht="13.5" customHeight="1">
      <c r="E37" s="19"/>
    </row>
    <row r="38" spans="2:24" s="1" customFormat="1" ht="13.5" customHeight="1">
      <c r="B38" s="18" t="s">
        <v>36</v>
      </c>
      <c r="C38" s="18"/>
      <c r="G38" s="81"/>
      <c r="H38" s="18" t="s">
        <v>349</v>
      </c>
      <c r="I38" s="18"/>
      <c r="J38" s="18"/>
      <c r="K38" s="18"/>
      <c r="L38" s="18"/>
      <c r="M38" s="18"/>
      <c r="N38" s="18"/>
      <c r="O38" s="18"/>
      <c r="P38" s="18"/>
      <c r="Q38" s="18" t="s">
        <v>128</v>
      </c>
      <c r="S38" s="18"/>
      <c r="T38" s="302"/>
      <c r="U38" s="302"/>
      <c r="V38" s="302"/>
      <c r="W38" s="302"/>
      <c r="X38" s="18" t="s">
        <v>127</v>
      </c>
    </row>
    <row r="39" spans="2:24" s="1" customFormat="1" ht="13.5" customHeight="1">
      <c r="E39" s="19"/>
    </row>
    <row r="40" spans="2:24" s="1" customFormat="1" ht="13.5" customHeight="1">
      <c r="B40" s="1" t="s">
        <v>37</v>
      </c>
      <c r="C40" s="18"/>
      <c r="D40" s="18"/>
      <c r="G40" s="81"/>
      <c r="H40" s="18" t="s">
        <v>349</v>
      </c>
      <c r="I40" s="18"/>
      <c r="J40" s="18"/>
      <c r="K40" s="18"/>
      <c r="L40" s="18"/>
      <c r="M40" s="18"/>
      <c r="N40" s="18"/>
      <c r="O40" s="18"/>
      <c r="P40" s="18"/>
      <c r="Q40" s="18" t="s">
        <v>128</v>
      </c>
      <c r="S40" s="18"/>
      <c r="T40" s="302" t="s">
        <v>354</v>
      </c>
      <c r="U40" s="302"/>
      <c r="V40" s="302"/>
      <c r="W40" s="302"/>
      <c r="X40" s="18" t="s">
        <v>127</v>
      </c>
    </row>
    <row r="41" spans="2:24" s="1" customFormat="1" ht="13.5" customHeight="1">
      <c r="B41" s="19"/>
      <c r="E41" s="19"/>
    </row>
    <row r="42" spans="2:24" s="1" customFormat="1" ht="13.5" customHeight="1">
      <c r="B42" s="18" t="s">
        <v>40</v>
      </c>
      <c r="C42" s="18"/>
      <c r="D42" s="18"/>
      <c r="G42" s="81"/>
      <c r="H42" s="18" t="s">
        <v>11</v>
      </c>
      <c r="I42" s="18"/>
      <c r="J42" s="18"/>
      <c r="K42" s="81"/>
      <c r="L42" s="18" t="s">
        <v>349</v>
      </c>
      <c r="M42" s="18"/>
      <c r="N42" s="18"/>
      <c r="O42" s="18"/>
      <c r="P42" s="18"/>
      <c r="Q42" s="18" t="s">
        <v>128</v>
      </c>
      <c r="S42" s="18"/>
      <c r="T42" s="302" t="s">
        <v>355</v>
      </c>
      <c r="U42" s="302"/>
      <c r="V42" s="302"/>
      <c r="W42" s="302"/>
      <c r="X42" s="18" t="s">
        <v>127</v>
      </c>
    </row>
    <row r="43" spans="2:24" s="1" customFormat="1" ht="13.5" customHeight="1">
      <c r="D43" s="19"/>
      <c r="E43" s="19"/>
    </row>
    <row r="44" spans="2:24" s="1" customFormat="1" ht="13.5" customHeight="1">
      <c r="B44" s="18" t="s">
        <v>53</v>
      </c>
      <c r="C44" s="18"/>
      <c r="G44" s="81"/>
      <c r="H44" s="18" t="s">
        <v>11</v>
      </c>
      <c r="I44" s="18"/>
      <c r="J44" s="18"/>
      <c r="K44" s="81"/>
      <c r="L44" s="18" t="s">
        <v>125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 t="s">
        <v>49</v>
      </c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4:5" s="1" customFormat="1" ht="13.5" customHeight="1">
      <c r="D49" s="19"/>
      <c r="E49" s="19"/>
    </row>
    <row r="50" spans="4:5" s="1" customFormat="1" ht="13.5"/>
    <row r="51" spans="4:5" s="1" customFormat="1" ht="13.5"/>
    <row r="52" spans="4:5" s="1" customFormat="1" ht="13.5"/>
    <row r="53" spans="4:5" s="1" customFormat="1" ht="13.5"/>
    <row r="54" spans="4:5" s="1" customFormat="1" ht="13.5"/>
    <row r="55" spans="4:5" s="1" customFormat="1" ht="13.5"/>
    <row r="56" spans="4:5" s="1" customFormat="1" ht="13.5"/>
    <row r="57" spans="4:5" s="1" customFormat="1" ht="13.5"/>
    <row r="58" spans="4:5" s="1" customFormat="1" ht="13.5"/>
    <row r="59" spans="4:5" s="1" customFormat="1" ht="13.5"/>
    <row r="60" spans="4:5" s="1" customFormat="1" ht="13.5"/>
    <row r="61" spans="4:5" s="1" customFormat="1" ht="13.5"/>
    <row r="62" spans="4:5" s="1" customFormat="1" ht="13.5"/>
    <row r="63" spans="4:5" s="1" customFormat="1" ht="13.5"/>
    <row r="64" spans="4:5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</sheetData>
  <mergeCells count="11">
    <mergeCell ref="T40:W40"/>
    <mergeCell ref="T42:W42"/>
    <mergeCell ref="N21:R21"/>
    <mergeCell ref="Q8:R8"/>
    <mergeCell ref="AB21:AC21"/>
    <mergeCell ref="Q9:R9"/>
    <mergeCell ref="N9:O9"/>
    <mergeCell ref="T38:W38"/>
    <mergeCell ref="T21:Y21"/>
    <mergeCell ref="T34:W34"/>
    <mergeCell ref="T36:W36"/>
  </mergeCells>
  <phoneticPr fontId="1"/>
  <hyperlinks>
    <hyperlink ref="F8" r:id="rId1" display="mailto:tomohito.awano@lixil.com" xr:uid="{B7031AB2-E226-4DEF-9426-9DD01DCCAADE}"/>
  </hyperlinks>
  <pageMargins left="0.43307086614173229" right="0.23622047244094491" top="0.74803149606299213" bottom="0.74803149606299213" header="0.31496062992125984" footer="0.31496062992125984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 Box 1">
              <controlPr defaultSize="0" autoFill="0" autoLine="0" autoPict="0">
                <anchor moveWithCells="1">
                  <from>
                    <xdr:col>10</xdr:col>
                    <xdr:colOff>38100</xdr:colOff>
                    <xdr:row>34</xdr:row>
                    <xdr:rowOff>171450</xdr:rowOff>
                  </from>
                  <to>
                    <xdr:col>11</xdr:col>
                    <xdr:colOff>38100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34</xdr:row>
                    <xdr:rowOff>171450</xdr:rowOff>
                  </from>
                  <to>
                    <xdr:col>7</xdr:col>
                    <xdr:colOff>28575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6</xdr:col>
                    <xdr:colOff>28575</xdr:colOff>
                    <xdr:row>32</xdr:row>
                    <xdr:rowOff>171450</xdr:rowOff>
                  </from>
                  <to>
                    <xdr:col>7</xdr:col>
                    <xdr:colOff>28575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10</xdr:col>
                    <xdr:colOff>47625</xdr:colOff>
                    <xdr:row>32</xdr:row>
                    <xdr:rowOff>171450</xdr:rowOff>
                  </from>
                  <to>
                    <xdr:col>11</xdr:col>
                    <xdr:colOff>47625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9" name="Check Box 9">
              <controlPr defaultSize="0" autoFill="0" autoLine="0" autoPict="0">
                <anchor moveWithCells="1">
                  <from>
                    <xdr:col>15</xdr:col>
                    <xdr:colOff>47625</xdr:colOff>
                    <xdr:row>33</xdr:row>
                    <xdr:rowOff>0</xdr:rowOff>
                  </from>
                  <to>
                    <xdr:col>16</xdr:col>
                    <xdr:colOff>47625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0" name="Check Box 10">
              <controlPr defaultSize="0" autoFill="0" autoLine="0" autoPict="0">
                <anchor moveWithCells="1">
                  <from>
                    <xdr:col>6</xdr:col>
                    <xdr:colOff>19050</xdr:colOff>
                    <xdr:row>37</xdr:row>
                    <xdr:rowOff>0</xdr:rowOff>
                  </from>
                  <to>
                    <xdr:col>7</xdr:col>
                    <xdr:colOff>19050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1" name="Check Box 11">
              <controlPr defaultSize="0" autoFill="0" autoLine="0" autoPict="0">
                <anchor moveWithCells="1">
                  <from>
                    <xdr:col>15</xdr:col>
                    <xdr:colOff>47625</xdr:colOff>
                    <xdr:row>35</xdr:row>
                    <xdr:rowOff>0</xdr:rowOff>
                  </from>
                  <to>
                    <xdr:col>16</xdr:col>
                    <xdr:colOff>47625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2" name="Check Box 16">
              <controlPr defaultSize="0" autoFill="0" autoLine="0" autoPict="0">
                <anchor moveWithCells="1">
                  <from>
                    <xdr:col>10</xdr:col>
                    <xdr:colOff>38100</xdr:colOff>
                    <xdr:row>38</xdr:row>
                    <xdr:rowOff>171450</xdr:rowOff>
                  </from>
                  <to>
                    <xdr:col>11</xdr:col>
                    <xdr:colOff>38100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13" name="Check Box 17">
              <controlPr defaultSize="0" autoFill="0" autoLine="0" autoPict="0">
                <anchor moveWithCells="1">
                  <from>
                    <xdr:col>6</xdr:col>
                    <xdr:colOff>28575</xdr:colOff>
                    <xdr:row>38</xdr:row>
                    <xdr:rowOff>171450</xdr:rowOff>
                  </from>
                  <to>
                    <xdr:col>7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14" name="Check Box 19">
              <controlPr defaultSize="0" autoFill="0" autoLine="0" autoPict="0">
                <anchor moveWithCells="1">
                  <from>
                    <xdr:col>10</xdr:col>
                    <xdr:colOff>28575</xdr:colOff>
                    <xdr:row>39</xdr:row>
                    <xdr:rowOff>0</xdr:rowOff>
                  </from>
                  <to>
                    <xdr:col>11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15" name="Check Box 20">
              <controlPr defaultSize="0" autoFill="0" autoLine="0" autoPict="0">
                <anchor moveWithCells="1">
                  <from>
                    <xdr:col>6</xdr:col>
                    <xdr:colOff>28575</xdr:colOff>
                    <xdr:row>39</xdr:row>
                    <xdr:rowOff>0</xdr:rowOff>
                  </from>
                  <to>
                    <xdr:col>7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16" name="Check Box 21">
              <controlPr defaultSize="0" autoFill="0" autoLine="0" autoPict="0">
                <anchor moveWithCells="1">
                  <from>
                    <xdr:col>10</xdr:col>
                    <xdr:colOff>28575</xdr:colOff>
                    <xdr:row>40</xdr:row>
                    <xdr:rowOff>171450</xdr:rowOff>
                  </from>
                  <to>
                    <xdr:col>11</xdr:col>
                    <xdr:colOff>28575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17" name="Check Box 22">
              <controlPr defaultSize="0" autoFill="0" autoLine="0" autoPict="0">
                <anchor moveWithCells="1">
                  <from>
                    <xdr:col>6</xdr:col>
                    <xdr:colOff>28575</xdr:colOff>
                    <xdr:row>41</xdr:row>
                    <xdr:rowOff>0</xdr:rowOff>
                  </from>
                  <to>
                    <xdr:col>7</xdr:col>
                    <xdr:colOff>28575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18" name="Check Box 23">
              <controlPr defaultSize="0" autoFill="0" autoLine="0" autoPict="0">
                <anchor moveWithCells="1">
                  <from>
                    <xdr:col>6</xdr:col>
                    <xdr:colOff>28575</xdr:colOff>
                    <xdr:row>39</xdr:row>
                    <xdr:rowOff>0</xdr:rowOff>
                  </from>
                  <to>
                    <xdr:col>7</xdr:col>
                    <xdr:colOff>28575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9" name="Check Box 24">
              <controlPr defaultSize="0" autoFill="0" autoLine="0" autoPict="0">
                <anchor moveWithCells="1">
                  <from>
                    <xdr:col>15</xdr:col>
                    <xdr:colOff>47625</xdr:colOff>
                    <xdr:row>39</xdr:row>
                    <xdr:rowOff>0</xdr:rowOff>
                  </from>
                  <to>
                    <xdr:col>16</xdr:col>
                    <xdr:colOff>47625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0" name="Check Box 25">
              <controlPr defaultSize="0" autoFill="0" autoLine="0" autoPict="0">
                <anchor moveWithCells="1">
                  <from>
                    <xdr:col>15</xdr:col>
                    <xdr:colOff>47625</xdr:colOff>
                    <xdr:row>41</xdr:row>
                    <xdr:rowOff>0</xdr:rowOff>
                  </from>
                  <to>
                    <xdr:col>16</xdr:col>
                    <xdr:colOff>47625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21" name="Check Box 26">
              <controlPr defaultSize="0" autoFill="0" autoLine="0" autoPict="0">
                <anchor moveWithCells="1">
                  <from>
                    <xdr:col>10</xdr:col>
                    <xdr:colOff>28575</xdr:colOff>
                    <xdr:row>42</xdr:row>
                    <xdr:rowOff>171450</xdr:rowOff>
                  </from>
                  <to>
                    <xdr:col>11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22" name="Check Box 27">
              <controlPr defaultSize="0" autoFill="0" autoLine="0" autoPict="0">
                <anchor moveWithCells="1">
                  <from>
                    <xdr:col>6</xdr:col>
                    <xdr:colOff>28575</xdr:colOff>
                    <xdr:row>43</xdr:row>
                    <xdr:rowOff>0</xdr:rowOff>
                  </from>
                  <to>
                    <xdr:col>7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23" name="Check Box 28">
              <controlPr defaultSize="0" autoFill="0" autoLine="0" autoPict="0">
                <anchor moveWithCells="1">
                  <from>
                    <xdr:col>15</xdr:col>
                    <xdr:colOff>47625</xdr:colOff>
                    <xdr:row>43</xdr:row>
                    <xdr:rowOff>0</xdr:rowOff>
                  </from>
                  <to>
                    <xdr:col>16</xdr:col>
                    <xdr:colOff>47625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24" name="Check Box 29">
              <controlPr defaultSize="0" autoFill="0" autoLine="0" autoPict="0">
                <anchor moveWithCells="1">
                  <from>
                    <xdr:col>10</xdr:col>
                    <xdr:colOff>28575</xdr:colOff>
                    <xdr:row>43</xdr:row>
                    <xdr:rowOff>0</xdr:rowOff>
                  </from>
                  <to>
                    <xdr:col>11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25" name="Check Box 30">
              <controlPr defaultSize="0" autoFill="0" autoLine="0" autoPict="0">
                <anchor moveWithCells="1">
                  <from>
                    <xdr:col>6</xdr:col>
                    <xdr:colOff>28575</xdr:colOff>
                    <xdr:row>43</xdr:row>
                    <xdr:rowOff>0</xdr:rowOff>
                  </from>
                  <to>
                    <xdr:col>7</xdr:col>
                    <xdr:colOff>28575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26" name="Check Box 31">
              <controlPr defaultSize="0" autoFill="0" autoLine="0" autoPict="0">
                <anchor moveWithCells="1">
                  <from>
                    <xdr:col>15</xdr:col>
                    <xdr:colOff>47625</xdr:colOff>
                    <xdr:row>37</xdr:row>
                    <xdr:rowOff>0</xdr:rowOff>
                  </from>
                  <to>
                    <xdr:col>16</xdr:col>
                    <xdr:colOff>47625</xdr:colOff>
                    <xdr:row>38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6D10-7E73-4313-B3E0-F961AC91DB2E}">
  <dimension ref="A1:AC163"/>
  <sheetViews>
    <sheetView topLeftCell="A7" zoomScale="120" zoomScaleNormal="120" workbookViewId="0">
      <selection activeCell="B15" sqref="B15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54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256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174" t="s">
        <v>237</v>
      </c>
      <c r="C8" s="174"/>
      <c r="D8" s="8" t="s">
        <v>133</v>
      </c>
      <c r="F8" s="98" t="s">
        <v>241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13.5" customHeight="1">
      <c r="C10" s="5" t="s">
        <v>60</v>
      </c>
      <c r="I10" s="11"/>
      <c r="J10" s="11"/>
      <c r="K10" s="11"/>
      <c r="AC10" s="12"/>
    </row>
    <row r="11" spans="1:29" s="5" customFormat="1" ht="13.5" customHeight="1">
      <c r="C11" s="5" t="s">
        <v>61</v>
      </c>
      <c r="K11" s="11"/>
      <c r="N11" s="5" t="s">
        <v>234</v>
      </c>
      <c r="AC11" s="12"/>
    </row>
    <row r="12" spans="1:29" s="5" customFormat="1" ht="13.5" customHeight="1">
      <c r="C12" s="5" t="s">
        <v>62</v>
      </c>
      <c r="H12" s="5" t="s">
        <v>63</v>
      </c>
      <c r="N12" s="5" t="s">
        <v>330</v>
      </c>
    </row>
    <row r="13" spans="1:29" s="5" customFormat="1" ht="13.5" customHeight="1">
      <c r="C13" s="5" t="s">
        <v>238</v>
      </c>
      <c r="N13" s="5" t="s">
        <v>235</v>
      </c>
      <c r="S13" s="5" t="s">
        <v>236</v>
      </c>
    </row>
    <row r="14" spans="1:29" s="5" customFormat="1" ht="12" customHeight="1"/>
    <row r="15" spans="1:29" s="5" customFormat="1" ht="18" customHeight="1">
      <c r="B15" s="3" t="s">
        <v>257</v>
      </c>
      <c r="C15" s="4"/>
      <c r="D15" s="4"/>
      <c r="E15" s="4"/>
      <c r="F15" s="4"/>
      <c r="G15" s="4"/>
      <c r="H15" s="4"/>
      <c r="I15" s="1"/>
      <c r="J15" s="1"/>
    </row>
    <row r="16" spans="1:29" s="5" customFormat="1" ht="13.5" customHeight="1">
      <c r="B16" s="174" t="s">
        <v>254</v>
      </c>
      <c r="C16" s="174"/>
      <c r="D16" s="8" t="s">
        <v>133</v>
      </c>
      <c r="E16" s="8"/>
      <c r="F16" s="98" t="s">
        <v>255</v>
      </c>
      <c r="G16" s="8"/>
      <c r="H16" s="8"/>
      <c r="I16" s="8"/>
      <c r="J16" s="8"/>
    </row>
    <row r="17" spans="1:25" s="5" customFormat="1" ht="13.5" customHeight="1"/>
    <row r="18" spans="1:25" s="5" customFormat="1" ht="3.6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s="5" customFormat="1" ht="13.5" customHeight="1"/>
    <row r="20" spans="1:25" s="5" customFormat="1" ht="13.5" customHeight="1"/>
    <row r="21" spans="1:25" s="1" customFormat="1" ht="13.5" customHeight="1">
      <c r="B21" s="2" t="s">
        <v>0</v>
      </c>
      <c r="K21" s="7"/>
    </row>
    <row r="22" spans="1:25" s="1" customFormat="1" ht="19.5" customHeight="1">
      <c r="B22" s="18"/>
      <c r="C22" s="23" t="str">
        <f>入力シート!D4</f>
        <v>伊藤友章</v>
      </c>
      <c r="D22" s="18"/>
      <c r="E22" s="18"/>
      <c r="F22" s="18"/>
      <c r="G22" s="18"/>
      <c r="H22" s="18"/>
      <c r="I22" s="18"/>
      <c r="J22" s="18"/>
      <c r="K22" s="18"/>
      <c r="L22" s="18"/>
    </row>
    <row r="23" spans="1:25" s="1" customFormat="1" ht="13.5" customHeight="1">
      <c r="N23" s="1" t="s">
        <v>8</v>
      </c>
      <c r="T23" s="1" t="s">
        <v>9</v>
      </c>
    </row>
    <row r="24" spans="1:25" s="1" customFormat="1" ht="13.5" customHeight="1">
      <c r="N24" s="175" t="s">
        <v>360</v>
      </c>
      <c r="O24" s="175"/>
      <c r="P24" s="175"/>
      <c r="Q24" s="175"/>
      <c r="R24" s="175"/>
      <c r="T24" s="175" t="s">
        <v>361</v>
      </c>
      <c r="U24" s="175"/>
      <c r="V24" s="175"/>
      <c r="W24" s="175"/>
      <c r="X24" s="175"/>
    </row>
    <row r="25" spans="1:25" s="1" customFormat="1" ht="13.5" customHeight="1">
      <c r="X25" s="82" t="s">
        <v>136</v>
      </c>
    </row>
    <row r="26" spans="1:25" s="1" customFormat="1" ht="13.5" customHeight="1">
      <c r="B26" s="2" t="s">
        <v>135</v>
      </c>
    </row>
    <row r="27" spans="1:25" s="1" customFormat="1" ht="19.5" customHeight="1">
      <c r="B27" s="18"/>
      <c r="C27" s="23" t="str">
        <f>入力シート!D7</f>
        <v>静岡県掛川市宮脇字五輪田1059番2,1059番9,1060番17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5" s="1" customFormat="1" ht="13.5" customHeight="1"/>
    <row r="29" spans="1:25" s="1" customFormat="1" ht="13.5" customHeight="1"/>
    <row r="30" spans="1:25" s="1" customFormat="1" ht="13.5" customHeight="1">
      <c r="B30" s="21" t="s">
        <v>15</v>
      </c>
      <c r="C30" s="22"/>
      <c r="D30" s="22"/>
      <c r="E30" s="22"/>
      <c r="F30" s="20"/>
      <c r="G30" s="18" t="str">
        <f>入力シート!D11</f>
        <v>青島</v>
      </c>
      <c r="H30" s="18"/>
      <c r="I30" s="18"/>
      <c r="J30" s="18" t="str">
        <f>入力シート!E11</f>
        <v>aoshima.s@hakuto-k.jp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5" s="1" customFormat="1" ht="13.5" customHeight="1">
      <c r="B31" s="19"/>
      <c r="D31" s="19"/>
    </row>
    <row r="32" spans="1:25" s="1" customFormat="1" ht="13.5" customHeight="1">
      <c r="B32" s="18" t="s">
        <v>56</v>
      </c>
      <c r="C32" s="18"/>
      <c r="D32" s="18"/>
      <c r="G32" s="32"/>
      <c r="H32" s="31" t="s">
        <v>57</v>
      </c>
      <c r="I32" s="23"/>
      <c r="J32" s="23"/>
      <c r="K32" s="23"/>
      <c r="L32" s="32"/>
      <c r="M32" s="31" t="s">
        <v>58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2:24" s="1" customFormat="1" ht="13.5" customHeight="1">
      <c r="V33" s="1" t="s">
        <v>239</v>
      </c>
    </row>
    <row r="34" spans="2:24" s="1" customFormat="1" ht="13.5" customHeight="1">
      <c r="B34" s="18" t="s">
        <v>59</v>
      </c>
      <c r="C34" s="18"/>
      <c r="G34" s="32"/>
      <c r="H34" s="18" t="s">
        <v>64</v>
      </c>
      <c r="I34" s="18"/>
      <c r="J34" s="18"/>
      <c r="K34" s="18"/>
      <c r="L34" s="32"/>
      <c r="M34" s="18" t="s">
        <v>65</v>
      </c>
      <c r="N34" s="18"/>
      <c r="O34" s="18"/>
      <c r="P34" s="18"/>
      <c r="Q34" s="32"/>
      <c r="R34" s="33" t="s">
        <v>66</v>
      </c>
      <c r="S34" s="18"/>
      <c r="T34" s="18"/>
      <c r="U34" s="18"/>
      <c r="V34" s="18" t="s">
        <v>240</v>
      </c>
      <c r="W34" s="18"/>
      <c r="X34" s="18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142</v>
      </c>
      <c r="C36" s="18"/>
      <c r="D36" s="18"/>
      <c r="G36" s="18"/>
      <c r="H36" s="18" t="s">
        <v>139</v>
      </c>
      <c r="I36" s="18"/>
      <c r="J36" s="18"/>
      <c r="K36" s="18" t="s">
        <v>140</v>
      </c>
      <c r="L36" s="18"/>
      <c r="M36" s="18"/>
      <c r="N36" s="18" t="s">
        <v>141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E37" s="19"/>
    </row>
    <row r="38" spans="2:24" s="1" customFormat="1" ht="13.5" customHeight="1">
      <c r="B38" s="18" t="s">
        <v>27</v>
      </c>
      <c r="C38" s="18"/>
      <c r="G38" s="130" t="str">
        <f>入力シート!D29</f>
        <v>2024/11/30</v>
      </c>
      <c r="H38" s="18"/>
      <c r="I38" s="18"/>
      <c r="J38" s="18"/>
      <c r="K38" s="18" t="s">
        <v>143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D39" s="19"/>
      <c r="E39" s="19"/>
    </row>
    <row r="40" spans="2:24" s="1" customFormat="1" ht="13.5" customHeight="1">
      <c r="B40" s="1" t="s">
        <v>137</v>
      </c>
      <c r="C40" s="18"/>
      <c r="D40" s="18"/>
      <c r="G40" s="18" t="str">
        <f>入力シート!D35</f>
        <v>2024/12/23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1" customFormat="1" ht="13.5" customHeight="1">
      <c r="B41" s="19"/>
      <c r="E41" s="19"/>
    </row>
    <row r="42" spans="2:24" s="1" customFormat="1" ht="13.5" customHeight="1">
      <c r="B42" s="18" t="s">
        <v>138</v>
      </c>
      <c r="C42" s="18"/>
      <c r="D42" s="18"/>
      <c r="G42" s="18" t="str">
        <f>入力シート!D37</f>
        <v>2024/4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E43" s="19"/>
    </row>
    <row r="44" spans="2:24" s="1" customFormat="1" ht="13.5" customHeight="1">
      <c r="B44" s="18" t="s">
        <v>49</v>
      </c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 customHeight="1">
      <c r="D53" s="19"/>
      <c r="E53" s="19"/>
    </row>
    <row r="54" spans="2:24" s="1" customFormat="1" ht="13.5" customHeight="1">
      <c r="B54" s="18"/>
      <c r="C54" s="18"/>
      <c r="D54" s="18"/>
      <c r="E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s="1" customFormat="1" ht="13.5" customHeight="1"/>
    <row r="56" spans="2:24" s="1" customFormat="1" ht="13.5" customHeight="1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  <row r="161" s="1" customFormat="1" ht="13.5"/>
    <row r="162" s="1" customFormat="1" ht="13.5"/>
    <row r="163" s="1" customFormat="1" ht="13.5"/>
  </sheetData>
  <mergeCells count="7">
    <mergeCell ref="B8:C8"/>
    <mergeCell ref="T24:X24"/>
    <mergeCell ref="N24:R24"/>
    <mergeCell ref="B16:C16"/>
    <mergeCell ref="N9:O9"/>
    <mergeCell ref="Q8:R8"/>
    <mergeCell ref="Q9:R9"/>
  </mergeCells>
  <phoneticPr fontId="1"/>
  <hyperlinks>
    <hyperlink ref="F8" r:id="rId1" xr:uid="{5ED4B01B-D262-4AC5-89F9-7B38ADA232C4}"/>
    <hyperlink ref="F16" r:id="rId2" xr:uid="{E50E1919-D505-464E-B7C2-21A89F9FDB92}"/>
  </hyperlinks>
  <pageMargins left="0.43307086614173229" right="0.23622047244094491" top="0.74803149606299213" bottom="0.74803149606299213" header="0.31496062992125984" footer="0.31496062992125984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6" name="Check Box 1">
              <controlPr defaultSize="0" autoFill="0" autoLine="0" autoPict="0">
                <anchor moveWithCells="1">
                  <from>
                    <xdr:col>6</xdr:col>
                    <xdr:colOff>28575</xdr:colOff>
                    <xdr:row>30</xdr:row>
                    <xdr:rowOff>123825</xdr:rowOff>
                  </from>
                  <to>
                    <xdr:col>6</xdr:col>
                    <xdr:colOff>266700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7" name="Check Box 2">
              <controlPr defaultSize="0" autoFill="0" autoLine="0" autoPict="0">
                <anchor moveWithCells="1">
                  <from>
                    <xdr:col>11</xdr:col>
                    <xdr:colOff>38100</xdr:colOff>
                    <xdr:row>30</xdr:row>
                    <xdr:rowOff>152400</xdr:rowOff>
                  </from>
                  <to>
                    <xdr:col>12</xdr:col>
                    <xdr:colOff>38100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8" name="Check Box 3">
              <controlPr defaultSize="0" autoFill="0" autoLine="0" autoPict="0">
                <anchor moveWithCells="1">
                  <from>
                    <xdr:col>6</xdr:col>
                    <xdr:colOff>38100</xdr:colOff>
                    <xdr:row>32</xdr:row>
                    <xdr:rowOff>152400</xdr:rowOff>
                  </from>
                  <to>
                    <xdr:col>7</xdr:col>
                    <xdr:colOff>38100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9" name="Check Box 4">
              <controlPr defaultSize="0" autoFill="0" autoLine="0" autoPict="0">
                <anchor moveWithCells="1">
                  <from>
                    <xdr:col>11</xdr:col>
                    <xdr:colOff>38100</xdr:colOff>
                    <xdr:row>32</xdr:row>
                    <xdr:rowOff>152400</xdr:rowOff>
                  </from>
                  <to>
                    <xdr:col>12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0" name="Check Box 5">
              <controlPr defaultSize="0" autoFill="0" autoLine="0" autoPict="0">
                <anchor moveWithCells="1">
                  <from>
                    <xdr:col>16</xdr:col>
                    <xdr:colOff>47625</xdr:colOff>
                    <xdr:row>32</xdr:row>
                    <xdr:rowOff>152400</xdr:rowOff>
                  </from>
                  <to>
                    <xdr:col>17</xdr:col>
                    <xdr:colOff>47625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1" name="Check Box 6">
              <controlPr defaultSize="0" autoFill="0" autoLine="0" autoPict="0">
                <anchor moveWithCells="1">
                  <from>
                    <xdr:col>6</xdr:col>
                    <xdr:colOff>57150</xdr:colOff>
                    <xdr:row>35</xdr:row>
                    <xdr:rowOff>0</xdr:rowOff>
                  </from>
                  <to>
                    <xdr:col>7</xdr:col>
                    <xdr:colOff>57150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2" name="Check Box 7">
              <controlPr defaultSize="0" autoFill="0" autoLine="0" autoPict="0">
                <anchor moveWithCells="1">
                  <from>
                    <xdr:col>9</xdr:col>
                    <xdr:colOff>57150</xdr:colOff>
                    <xdr:row>34</xdr:row>
                    <xdr:rowOff>161925</xdr:rowOff>
                  </from>
                  <to>
                    <xdr:col>10</xdr:col>
                    <xdr:colOff>57150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3" name="Check Box 8">
              <controlPr defaultSize="0" autoFill="0" autoLine="0" autoPict="0">
                <anchor moveWithCells="1">
                  <from>
                    <xdr:col>11</xdr:col>
                    <xdr:colOff>266700</xdr:colOff>
                    <xdr:row>34</xdr:row>
                    <xdr:rowOff>171450</xdr:rowOff>
                  </from>
                  <to>
                    <xdr:col>13</xdr:col>
                    <xdr:colOff>114300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4" name="Check Box 13">
              <controlPr defaultSize="0" autoFill="0" autoLine="0" autoPict="0">
                <anchor moveWithCells="1">
                  <from>
                    <xdr:col>20</xdr:col>
                    <xdr:colOff>19050</xdr:colOff>
                    <xdr:row>32</xdr:row>
                    <xdr:rowOff>171450</xdr:rowOff>
                  </from>
                  <to>
                    <xdr:col>21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5" name="Check Box 14">
              <controlPr defaultSize="0" autoFill="0" autoLine="0" autoPict="0">
                <anchor moveWithCells="1">
                  <from>
                    <xdr:col>20</xdr:col>
                    <xdr:colOff>28575</xdr:colOff>
                    <xdr:row>31</xdr:row>
                    <xdr:rowOff>152400</xdr:rowOff>
                  </from>
                  <to>
                    <xdr:col>21</xdr:col>
                    <xdr:colOff>28575</xdr:colOff>
                    <xdr:row>33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9874-9E7A-4324-9A8C-A965B7058B48}">
  <dimension ref="A1:AC159"/>
  <sheetViews>
    <sheetView zoomScale="120" zoomScaleNormal="120" workbookViewId="0">
      <selection activeCell="AD13" sqref="AD13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148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/>
      <c r="C7" s="304" t="str">
        <f>入力シート!C55</f>
        <v>浜岡総合設計事務所　西原　</v>
      </c>
      <c r="D7" s="304"/>
      <c r="E7" s="304"/>
      <c r="F7" s="304"/>
      <c r="G7" s="304"/>
      <c r="H7" s="304"/>
      <c r="I7" s="304"/>
      <c r="J7" s="304"/>
      <c r="K7" s="1" t="s">
        <v>131</v>
      </c>
      <c r="N7" s="3" t="s">
        <v>243</v>
      </c>
    </row>
    <row r="8" spans="1:29" s="8" customFormat="1" ht="15" customHeight="1">
      <c r="F8" s="8" t="str">
        <f>入力シート!D56</f>
        <v>k-nishi@proof.ocn.ne.jp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20.100000000000001" customHeight="1">
      <c r="C10" s="305" t="str">
        <f>入力シート!C58</f>
        <v>カーザ建築設計室　橋本</v>
      </c>
      <c r="D10" s="305"/>
      <c r="E10" s="305"/>
      <c r="F10" s="305"/>
      <c r="G10" s="305"/>
      <c r="H10" s="305"/>
      <c r="I10" s="305"/>
      <c r="J10" s="305"/>
      <c r="K10" s="1" t="s">
        <v>131</v>
      </c>
      <c r="N10" s="5" t="s">
        <v>234</v>
      </c>
      <c r="AC10" s="12"/>
    </row>
    <row r="11" spans="1:29" s="5" customFormat="1" ht="13.5" customHeight="1">
      <c r="F11" s="8" t="str">
        <f>入力シート!D59</f>
        <v>nobu.net.com@cy.tnc.ne.jp</v>
      </c>
      <c r="K11" s="11"/>
      <c r="N11" s="5" t="s">
        <v>330</v>
      </c>
      <c r="AC11" s="12"/>
    </row>
    <row r="12" spans="1:29" s="5" customFormat="1" ht="13.5" customHeight="1">
      <c r="F12" s="8"/>
      <c r="N12" s="5" t="s">
        <v>235</v>
      </c>
      <c r="S12" s="5" t="s">
        <v>236</v>
      </c>
    </row>
    <row r="13" spans="1:29" s="5" customFormat="1" ht="13.5" customHeight="1"/>
    <row r="14" spans="1:29" s="5" customFormat="1" ht="3.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s="5" customFormat="1" ht="13.5" customHeight="1"/>
    <row r="16" spans="1:29" s="5" customFormat="1" ht="13.5" customHeight="1"/>
    <row r="17" spans="2:24" s="1" customFormat="1" ht="13.5" customHeight="1">
      <c r="B17" s="2" t="s">
        <v>0</v>
      </c>
      <c r="D17" s="1" t="str">
        <f>入力シート!F4</f>
        <v>ｲﾄｳ　ﾄﾓｱｷ</v>
      </c>
      <c r="K17" s="7"/>
    </row>
    <row r="18" spans="2:24" s="1" customFormat="1" ht="19.5" customHeight="1">
      <c r="B18" s="18"/>
      <c r="C18" s="23"/>
      <c r="D18" s="18" t="str">
        <f>入力シート!D4</f>
        <v>伊藤友章</v>
      </c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T19" s="1" t="s">
        <v>8</v>
      </c>
    </row>
    <row r="20" spans="2:24" s="1" customFormat="1" ht="13.5" customHeight="1">
      <c r="T20" s="175" t="s">
        <v>258</v>
      </c>
      <c r="U20" s="175"/>
      <c r="V20" s="175"/>
      <c r="W20" s="175"/>
      <c r="X20" s="175"/>
    </row>
    <row r="21" spans="2:24" s="1" customFormat="1" ht="13.5" customHeight="1">
      <c r="U21" s="2"/>
      <c r="X21" s="82"/>
    </row>
    <row r="22" spans="2:24" s="1" customFormat="1" ht="13.5" customHeight="1">
      <c r="B22" s="2" t="s">
        <v>135</v>
      </c>
    </row>
    <row r="23" spans="2:24" s="1" customFormat="1" ht="19.5" customHeight="1">
      <c r="B23" s="18"/>
      <c r="C23" s="23" t="str">
        <f>入力シート!D7</f>
        <v>静岡県掛川市宮脇字五輪田1059番2,1059番9,1060番17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145</v>
      </c>
      <c r="C28" s="18"/>
      <c r="D28" s="18"/>
      <c r="E28" s="18"/>
      <c r="G28" s="130">
        <f>入力シート!D33</f>
        <v>0</v>
      </c>
      <c r="H28" s="18"/>
      <c r="I28" s="18"/>
      <c r="J28" s="18"/>
      <c r="K28" s="18" t="s">
        <v>146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27</v>
      </c>
      <c r="C30" s="18"/>
      <c r="D30" s="18"/>
      <c r="E30" s="18"/>
      <c r="G30" s="130" t="str">
        <f>入力シート!D29</f>
        <v>2024/11/30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31" t="s">
        <v>149</v>
      </c>
      <c r="C32" s="18"/>
      <c r="D32" s="18"/>
      <c r="E32" s="18"/>
      <c r="G32" s="130" t="str">
        <f>入力シート!D31</f>
        <v>2024/11/30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147</v>
      </c>
      <c r="C34" s="18"/>
      <c r="D34" s="18"/>
      <c r="E34" s="18"/>
      <c r="G34" s="303" t="str">
        <f>ルフロ図依頼!T24</f>
        <v>2024/3/18</v>
      </c>
      <c r="H34" s="177"/>
      <c r="I34" s="177"/>
      <c r="J34" s="177"/>
      <c r="K34" s="177"/>
      <c r="L34" s="32"/>
      <c r="M34" s="31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151</v>
      </c>
      <c r="C36" s="18"/>
      <c r="D36" s="18"/>
      <c r="G36" s="18" t="s">
        <v>208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B37" s="19"/>
      <c r="E37" s="19"/>
    </row>
    <row r="38" spans="2:24" s="1" customFormat="1" ht="13.5" customHeight="1">
      <c r="B38" s="18" t="s">
        <v>209</v>
      </c>
      <c r="C38" s="18"/>
      <c r="D38" s="18"/>
      <c r="G38" s="18" t="str">
        <f>入力シート!D9</f>
        <v>▼▼▼▼▼▼▼▼▼▼▼▼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E39" s="19"/>
    </row>
    <row r="40" spans="2:24" s="1" customFormat="1" ht="13.5" customHeight="1">
      <c r="B40" s="18" t="s">
        <v>210</v>
      </c>
      <c r="C40" s="18"/>
      <c r="D40" s="18"/>
      <c r="E40" s="18"/>
      <c r="G40" s="18" t="str">
        <f>入力シート!D5</f>
        <v>○○　○○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1" customFormat="1" ht="13.5" customHeight="1"/>
    <row r="42" spans="2:24" s="1" customFormat="1" ht="13.5" customHeight="1">
      <c r="B42" s="18"/>
      <c r="C42" s="18"/>
      <c r="D42" s="18"/>
      <c r="E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7">
    <mergeCell ref="G34:K34"/>
    <mergeCell ref="C7:J7"/>
    <mergeCell ref="C10:J10"/>
    <mergeCell ref="T20:X20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4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9525</xdr:rowOff>
                  </from>
                  <to>
                    <xdr:col>2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5" name="Check Box 4">
              <controlPr defaultSize="0" autoFill="0" autoLine="0" autoPict="0">
                <anchor moveWithCells="1">
                  <from>
                    <xdr:col>1</xdr:col>
                    <xdr:colOff>57150</xdr:colOff>
                    <xdr:row>9</xdr:row>
                    <xdr:rowOff>0</xdr:rowOff>
                  </from>
                  <to>
                    <xdr:col>2</xdr:col>
                    <xdr:colOff>19050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3A39-4D61-498F-A7FD-8F19A7E52389}">
  <dimension ref="A1:AC159"/>
  <sheetViews>
    <sheetView topLeftCell="A27" zoomScale="120" zoomScaleNormal="120" workbookViewId="0">
      <selection activeCell="AD11" sqref="AD11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148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/>
      <c r="C7" s="304" t="str">
        <f>入力シート!C55</f>
        <v>浜岡総合設計事務所　西原　</v>
      </c>
      <c r="D7" s="304"/>
      <c r="E7" s="304"/>
      <c r="F7" s="304"/>
      <c r="G7" s="304"/>
      <c r="H7" s="304"/>
      <c r="I7" s="304"/>
      <c r="J7" s="304"/>
      <c r="K7" s="1" t="s">
        <v>131</v>
      </c>
      <c r="N7" s="3" t="s">
        <v>243</v>
      </c>
    </row>
    <row r="8" spans="1:29" s="8" customFormat="1" ht="15" customHeight="1">
      <c r="F8" s="8" t="str">
        <f>入力シート!D56</f>
        <v>k-nishi@proof.ocn.ne.jp</v>
      </c>
      <c r="N8" s="8" t="s">
        <v>342</v>
      </c>
      <c r="Q8" s="174" t="str">
        <f>入力シート!D22</f>
        <v>倉田</v>
      </c>
      <c r="R8" s="174"/>
      <c r="S8" s="8" t="str">
        <f>入力シート!E22</f>
        <v xml:space="preserve">	kurata.tu@hakuto-k.jp</v>
      </c>
      <c r="AC8" s="10"/>
    </row>
    <row r="9" spans="1:29" s="8" customFormat="1" ht="13.5" customHeight="1">
      <c r="I9" s="9"/>
      <c r="J9" s="9"/>
      <c r="K9" s="9"/>
      <c r="N9" s="174" t="s">
        <v>343</v>
      </c>
      <c r="O9" s="174"/>
      <c r="Q9" s="174" t="str">
        <f>入力シート!D23</f>
        <v>倉田</v>
      </c>
      <c r="R9" s="174"/>
      <c r="S9" s="8" t="str">
        <f>入力シート!E23</f>
        <v xml:space="preserve">	kurata.tu@hakuto-k.jp</v>
      </c>
      <c r="AC9" s="10"/>
    </row>
    <row r="10" spans="1:29" s="5" customFormat="1" ht="20.100000000000001" customHeight="1">
      <c r="C10" s="305" t="str">
        <f>入力シート!C58</f>
        <v>カーザ建築設計室　橋本</v>
      </c>
      <c r="D10" s="305"/>
      <c r="E10" s="305"/>
      <c r="F10" s="305"/>
      <c r="G10" s="305"/>
      <c r="H10" s="305"/>
      <c r="I10" s="305"/>
      <c r="J10" s="305"/>
      <c r="K10" s="1" t="s">
        <v>131</v>
      </c>
      <c r="N10" s="5" t="s">
        <v>234</v>
      </c>
      <c r="AC10" s="12"/>
    </row>
    <row r="11" spans="1:29" s="5" customFormat="1" ht="13.5" customHeight="1">
      <c r="F11" s="8" t="str">
        <f>入力シート!D59</f>
        <v>nobu.net.com@cy.tnc.ne.jp</v>
      </c>
      <c r="K11" s="11"/>
      <c r="N11" s="5" t="s">
        <v>330</v>
      </c>
      <c r="AC11" s="12"/>
    </row>
    <row r="12" spans="1:29" s="5" customFormat="1" ht="13.5" customHeight="1">
      <c r="N12" s="5" t="s">
        <v>235</v>
      </c>
      <c r="S12" s="5" t="s">
        <v>236</v>
      </c>
    </row>
    <row r="13" spans="1:29" s="5" customFormat="1" ht="13.5" customHeight="1"/>
    <row r="14" spans="1:29" s="5" customFormat="1" ht="3.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s="5" customFormat="1" ht="13.5" customHeight="1"/>
    <row r="16" spans="1:29" s="5" customFormat="1" ht="13.5" customHeight="1"/>
    <row r="17" spans="2:24" s="1" customFormat="1" ht="13.5" customHeight="1">
      <c r="B17" s="2" t="s">
        <v>0</v>
      </c>
      <c r="D17" s="1" t="str">
        <f>入力シート!F4</f>
        <v>ｲﾄｳ　ﾄﾓｱｷ</v>
      </c>
      <c r="K17" s="7"/>
    </row>
    <row r="18" spans="2:24" s="1" customFormat="1" ht="19.5" customHeight="1">
      <c r="B18" s="18"/>
      <c r="C18" s="23"/>
      <c r="D18" s="18" t="str">
        <f>入力シート!D4</f>
        <v>伊藤友章</v>
      </c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T19" s="1" t="s">
        <v>8</v>
      </c>
    </row>
    <row r="20" spans="2:24" s="1" customFormat="1" ht="13.5" customHeight="1">
      <c r="T20" s="175" t="s">
        <v>258</v>
      </c>
      <c r="U20" s="175"/>
      <c r="V20" s="175"/>
      <c r="W20" s="175"/>
      <c r="X20" s="175"/>
    </row>
    <row r="21" spans="2:24" s="1" customFormat="1" ht="13.5" customHeight="1">
      <c r="U21" s="2"/>
      <c r="X21" s="82"/>
    </row>
    <row r="22" spans="2:24" s="1" customFormat="1" ht="13.5" customHeight="1">
      <c r="B22" s="2" t="s">
        <v>135</v>
      </c>
    </row>
    <row r="23" spans="2:24" s="1" customFormat="1" ht="19.5" customHeight="1">
      <c r="B23" s="18"/>
      <c r="C23" s="23" t="str">
        <f>入力シート!D7</f>
        <v>静岡県掛川市宮脇字五輪田1059番2,1059番9,1060番17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/>
      <c r="J26" s="18" t="str">
        <f>入力シート!E11</f>
        <v>aoshima.s@hakuto-k.jp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218</v>
      </c>
      <c r="C28" s="18"/>
      <c r="D28" s="18"/>
      <c r="E28" s="18"/>
      <c r="G28" s="18" t="s">
        <v>217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27</v>
      </c>
      <c r="C30" s="18"/>
      <c r="D30" s="18"/>
      <c r="E30" s="18"/>
      <c r="G30" s="130" t="str">
        <f>入力シート!D29</f>
        <v>2024/11/30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31" t="s">
        <v>149</v>
      </c>
      <c r="C32" s="18"/>
      <c r="D32" s="18"/>
      <c r="E32" s="18"/>
      <c r="G32" s="84" t="str">
        <f>入力シート!D31</f>
        <v>2024/11/30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147</v>
      </c>
      <c r="C34" s="18"/>
      <c r="D34" s="18"/>
      <c r="E34" s="18"/>
      <c r="G34" s="303" t="str">
        <f>ルフロ図依頼!T24</f>
        <v>2024/3/18</v>
      </c>
      <c r="H34" s="177"/>
      <c r="I34" s="177"/>
      <c r="J34" s="177"/>
      <c r="K34" s="177"/>
      <c r="L34" s="32"/>
      <c r="M34" s="31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151</v>
      </c>
      <c r="C36" s="18"/>
      <c r="D36" s="18"/>
      <c r="G36" s="18" t="s">
        <v>216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B37" s="19"/>
      <c r="E37" s="19"/>
    </row>
    <row r="38" spans="2:24" s="1" customFormat="1" ht="13.5" customHeight="1">
      <c r="B38" s="18" t="s">
        <v>209</v>
      </c>
      <c r="C38" s="18"/>
      <c r="D38" s="18"/>
      <c r="G38" s="18" t="str">
        <f>入力シート!D9</f>
        <v>▼▼▼▼▼▼▼▼▼▼▼▼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E39" s="19"/>
    </row>
    <row r="40" spans="2:24" s="1" customFormat="1" ht="13.5" customHeight="1">
      <c r="B40" s="18" t="s">
        <v>210</v>
      </c>
      <c r="C40" s="18"/>
      <c r="D40" s="18"/>
      <c r="E40" s="18"/>
      <c r="G40" s="18" t="str">
        <f>入力シート!D5</f>
        <v>○○　○○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1" customFormat="1" ht="13.5" customHeight="1"/>
    <row r="42" spans="2:24" s="1" customFormat="1" ht="13.5" customHeight="1">
      <c r="B42" s="18"/>
      <c r="C42" s="18"/>
      <c r="D42" s="18"/>
      <c r="E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7">
    <mergeCell ref="C7:J7"/>
    <mergeCell ref="C10:J10"/>
    <mergeCell ref="G34:K34"/>
    <mergeCell ref="T20:X20"/>
    <mergeCell ref="Q8:R8"/>
    <mergeCell ref="N9:O9"/>
    <mergeCell ref="Q9:R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9525</xdr:rowOff>
                  </from>
                  <to>
                    <xdr:col>2</xdr:col>
                    <xdr:colOff>9525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1</xdr:col>
                    <xdr:colOff>57150</xdr:colOff>
                    <xdr:row>9</xdr:row>
                    <xdr:rowOff>0</xdr:rowOff>
                  </from>
                  <to>
                    <xdr:col>2</xdr:col>
                    <xdr:colOff>19050</xdr:colOff>
                    <xdr:row>10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939A-EA70-4DC1-A6C0-5DED9428E611}">
  <dimension ref="A1:AC160"/>
  <sheetViews>
    <sheetView zoomScale="120" zoomScaleNormal="120" workbookViewId="0">
      <selection activeCell="AB26" sqref="AB26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55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224</v>
      </c>
      <c r="C7" s="4"/>
      <c r="D7" s="4"/>
      <c r="E7" s="4"/>
      <c r="F7" s="4"/>
      <c r="G7" s="4"/>
      <c r="H7" s="97" t="s">
        <v>160</v>
      </c>
      <c r="N7" s="3" t="s">
        <v>243</v>
      </c>
    </row>
    <row r="8" spans="1:29" s="8" customFormat="1" ht="15" customHeight="1">
      <c r="F8"/>
      <c r="O8" s="8" t="s">
        <v>7</v>
      </c>
      <c r="AC8" s="10"/>
    </row>
    <row r="9" spans="1:29" s="8" customFormat="1" ht="13.5" customHeight="1">
      <c r="F9" s="306" t="s">
        <v>161</v>
      </c>
      <c r="G9" s="306"/>
      <c r="H9" s="306"/>
      <c r="I9" s="306"/>
      <c r="J9" s="9" t="s">
        <v>133</v>
      </c>
      <c r="K9" s="9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D10" s="8"/>
      <c r="E10" s="8"/>
      <c r="I10" s="11"/>
      <c r="J10" s="11"/>
      <c r="K10" s="11"/>
      <c r="N10" s="5" t="s">
        <v>234</v>
      </c>
      <c r="AC10" s="12"/>
    </row>
    <row r="11" spans="1:29" s="5" customFormat="1" ht="13.5" customHeight="1">
      <c r="K11" s="11"/>
      <c r="N11" s="5" t="s">
        <v>330</v>
      </c>
      <c r="AC11" s="12"/>
    </row>
    <row r="12" spans="1:29" s="5" customFormat="1" ht="13.5" customHeight="1">
      <c r="N12" s="5" t="s">
        <v>235</v>
      </c>
      <c r="S12" s="5" t="s">
        <v>236</v>
      </c>
    </row>
    <row r="13" spans="1:29" s="5" customFormat="1" ht="13.5" customHeight="1"/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2" t="s">
        <v>0</v>
      </c>
      <c r="K18" s="7"/>
    </row>
    <row r="19" spans="2:24" s="1" customFormat="1" ht="19.5" customHeight="1">
      <c r="B19" s="18"/>
      <c r="C19" s="23" t="str">
        <f>入力シート!D4</f>
        <v>伊藤友章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24" s="1" customFormat="1" ht="13.5" customHeight="1">
      <c r="N20" s="1" t="s">
        <v>8</v>
      </c>
      <c r="T20" s="1" t="s">
        <v>9</v>
      </c>
    </row>
    <row r="21" spans="2:24" s="1" customFormat="1" ht="13.5" customHeight="1">
      <c r="N21" s="175" t="s">
        <v>258</v>
      </c>
      <c r="O21" s="175"/>
      <c r="P21" s="175"/>
      <c r="Q21" s="175"/>
      <c r="R21" s="175"/>
      <c r="S21" s="129"/>
      <c r="T21" s="175" t="s">
        <v>258</v>
      </c>
      <c r="U21" s="175"/>
      <c r="V21" s="175"/>
      <c r="W21" s="175"/>
      <c r="X21" s="175"/>
    </row>
    <row r="22" spans="2:24" s="1" customFormat="1" ht="13.5" customHeight="1"/>
    <row r="23" spans="2:24" s="1" customFormat="1" ht="13.5" customHeight="1">
      <c r="B23" s="2" t="s">
        <v>135</v>
      </c>
    </row>
    <row r="24" spans="2:24" s="1" customFormat="1" ht="19.5" customHeight="1">
      <c r="B24" s="18"/>
      <c r="C24" s="23" t="str">
        <f>入力シート!D7</f>
        <v>静岡県掛川市宮脇字五輪田1059番2,1059番9,1060番17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/>
    <row r="26" spans="2:24" s="1" customFormat="1" ht="13.5" customHeight="1"/>
    <row r="27" spans="2:24" s="1" customFormat="1" ht="13.5" customHeight="1">
      <c r="B27" s="21" t="s">
        <v>15</v>
      </c>
      <c r="C27" s="22"/>
      <c r="D27" s="22"/>
      <c r="E27" s="22"/>
      <c r="F27" s="20"/>
      <c r="G27" s="18" t="str">
        <f>入力シート!D11</f>
        <v>青島</v>
      </c>
      <c r="H27" s="18"/>
      <c r="I27" s="18"/>
      <c r="J27" s="18" t="str">
        <f>入力シート!E11</f>
        <v>aoshima.s@hakuto-k.jp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s="1" customFormat="1" ht="13.5" customHeight="1">
      <c r="B28" s="19"/>
      <c r="D28" s="19"/>
    </row>
    <row r="29" spans="2:24" s="1" customFormat="1" ht="13.5" customHeight="1">
      <c r="B29" s="18" t="s">
        <v>49</v>
      </c>
      <c r="C29" s="18"/>
      <c r="D29" s="18"/>
      <c r="E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s="1" customFormat="1" ht="13.5" customHeight="1"/>
    <row r="31" spans="2:24" s="1" customFormat="1" ht="13.5" customHeight="1">
      <c r="B31" s="18"/>
      <c r="C31" s="18"/>
      <c r="D31" s="18"/>
      <c r="E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s="1" customFormat="1" ht="13.5" customHeight="1"/>
    <row r="33" spans="2:24" s="1" customFormat="1" ht="13.5" customHeight="1">
      <c r="B33" s="18"/>
      <c r="C33" s="18"/>
      <c r="D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s="1" customFormat="1" ht="13.5" customHeight="1">
      <c r="E34" s="19"/>
    </row>
    <row r="35" spans="2:24" s="1" customFormat="1" ht="13.5" customHeight="1">
      <c r="B35" s="18"/>
      <c r="C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s="1" customFormat="1" ht="13.5" customHeight="1">
      <c r="D36" s="19"/>
      <c r="E36" s="19"/>
    </row>
    <row r="37" spans="2:24" s="1" customFormat="1" ht="13.5" customHeight="1">
      <c r="C37" s="18"/>
      <c r="D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s="1" customFormat="1" ht="13.5" customHeight="1">
      <c r="B38" s="19"/>
      <c r="E38" s="19"/>
    </row>
    <row r="39" spans="2:24" s="1" customFormat="1" ht="13.5" customHeight="1">
      <c r="B39" s="18"/>
      <c r="C39" s="18"/>
      <c r="D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E40" s="19"/>
    </row>
    <row r="41" spans="2:24" s="1" customFormat="1" ht="13.5" customHeight="1">
      <c r="B41" s="18"/>
      <c r="C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8"/>
      <c r="C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s="1" customFormat="1" ht="13.5" customHeight="1">
      <c r="D44" s="19"/>
      <c r="E44" s="19"/>
    </row>
    <row r="45" spans="2:24" s="1" customFormat="1" ht="13.5" customHeight="1">
      <c r="B45" s="18"/>
      <c r="C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4">
    <mergeCell ref="F9:I9"/>
    <mergeCell ref="T21:X21"/>
    <mergeCell ref="N21:R21"/>
    <mergeCell ref="O9:P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B32A-3E7B-443F-AFA7-CFF52E32C6C4}">
  <dimension ref="A1:AC138"/>
  <sheetViews>
    <sheetView zoomScale="120" zoomScaleNormal="120" workbookViewId="0">
      <selection activeCell="T22" sqref="T2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55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316</v>
      </c>
      <c r="C7" s="4"/>
      <c r="D7" s="4"/>
      <c r="E7" s="4"/>
      <c r="F7" s="4"/>
      <c r="G7" s="4"/>
      <c r="H7" s="97" t="s">
        <v>160</v>
      </c>
      <c r="N7" s="3" t="s">
        <v>243</v>
      </c>
    </row>
    <row r="8" spans="1:29" s="8" customFormat="1" ht="15" customHeight="1">
      <c r="F8"/>
      <c r="O8" s="8" t="s">
        <v>7</v>
      </c>
      <c r="AC8" s="10"/>
    </row>
    <row r="9" spans="1:29" s="8" customFormat="1" ht="13.5" customHeight="1">
      <c r="F9" s="306" t="s">
        <v>161</v>
      </c>
      <c r="G9" s="306"/>
      <c r="H9" s="306"/>
      <c r="I9" s="306"/>
      <c r="J9" s="9" t="s">
        <v>133</v>
      </c>
      <c r="K9" s="9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D10" s="8"/>
      <c r="E10" s="8"/>
      <c r="I10" s="11"/>
      <c r="J10" s="11"/>
      <c r="K10" s="11"/>
      <c r="N10" s="5" t="s">
        <v>234</v>
      </c>
      <c r="AC10" s="12"/>
    </row>
    <row r="11" spans="1:29" s="5" customFormat="1" ht="13.5" customHeight="1">
      <c r="G11" s="133" t="s">
        <v>229</v>
      </c>
      <c r="H11" s="134" t="s">
        <v>230</v>
      </c>
      <c r="K11" s="11"/>
      <c r="N11" s="5" t="s">
        <v>330</v>
      </c>
      <c r="AC11" s="12"/>
    </row>
    <row r="12" spans="1:29" s="5" customFormat="1" ht="13.5" customHeight="1">
      <c r="N12" s="5" t="s">
        <v>235</v>
      </c>
      <c r="S12" s="5" t="s">
        <v>236</v>
      </c>
    </row>
    <row r="13" spans="1:29" s="5" customFormat="1" ht="13.5" customHeight="1">
      <c r="G13" s="307">
        <v>44419</v>
      </c>
      <c r="H13" s="307"/>
      <c r="I13" s="307"/>
      <c r="J13" s="307"/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24" s="5" customFormat="1" ht="13.5" customHeight="1"/>
    <row r="18" spans="2:24" s="1" customFormat="1" ht="13.5" customHeight="1">
      <c r="B18" s="18" t="s">
        <v>225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24" s="1" customFormat="1" ht="13.5" customHeight="1"/>
    <row r="20" spans="2:24" s="1" customFormat="1" ht="13.5" customHeight="1">
      <c r="B20" s="18"/>
      <c r="C20" s="18"/>
      <c r="D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2:24" s="1" customFormat="1" ht="13.5" customHeight="1">
      <c r="E21" s="19"/>
    </row>
    <row r="22" spans="2:24" s="1" customFormat="1" ht="13.5" customHeight="1">
      <c r="B22" s="18" t="s">
        <v>233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24" s="1" customFormat="1" ht="13.5" customHeight="1"/>
    <row r="24" spans="2:24" s="1" customFormat="1" ht="13.5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s="1" customFormat="1" ht="13.5" customHeight="1">
      <c r="B25" s="19"/>
      <c r="C25" s="19"/>
      <c r="D25" s="19"/>
      <c r="E25" s="19"/>
      <c r="F25" s="19"/>
    </row>
    <row r="26" spans="2:24" s="1" customFormat="1" ht="13.5" customHeight="1">
      <c r="B26" s="18"/>
      <c r="C26" s="18" t="s">
        <v>231</v>
      </c>
      <c r="F26" s="18"/>
      <c r="G26" s="18"/>
      <c r="H26" s="18"/>
      <c r="I26" s="18"/>
      <c r="J26" s="18"/>
      <c r="K26" s="18"/>
      <c r="L26" s="18"/>
      <c r="M26" s="18"/>
      <c r="N26" s="124" t="s">
        <v>319</v>
      </c>
      <c r="O26" s="18" t="s">
        <v>318</v>
      </c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C27" s="132"/>
      <c r="E27" s="19"/>
    </row>
    <row r="28" spans="2:24" s="1" customFormat="1" ht="13.5" customHeight="1">
      <c r="B28" s="18"/>
      <c r="C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>
      <c r="D29" s="19"/>
      <c r="E29" s="19"/>
    </row>
    <row r="30" spans="2:24" s="1" customFormat="1" ht="13.5" customHeight="1">
      <c r="B30" s="18"/>
      <c r="C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>
      <c r="D31" s="19"/>
      <c r="E31" s="19"/>
    </row>
    <row r="32" spans="2:24" s="1" customFormat="1" ht="13.5" customHeight="1">
      <c r="B32" s="18"/>
      <c r="C32" s="18" t="s">
        <v>232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D33" s="19"/>
      <c r="E33" s="19"/>
    </row>
    <row r="34" spans="2:24" s="1" customFormat="1" ht="13.5" customHeight="1">
      <c r="B34" s="18"/>
      <c r="C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s="1" customFormat="1" ht="13.5" customHeight="1">
      <c r="D35" s="19"/>
      <c r="E35" s="19"/>
      <c r="F35" s="1" t="s">
        <v>228</v>
      </c>
    </row>
    <row r="36" spans="2:24" s="1" customFormat="1" ht="13.5" customHeight="1">
      <c r="B36" s="18"/>
      <c r="C36" s="18"/>
      <c r="D36" s="1" t="s">
        <v>226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s="1" customFormat="1" ht="13.5" customHeight="1">
      <c r="D37" s="19"/>
      <c r="E37" s="19"/>
    </row>
    <row r="38" spans="2:24" s="1" customFormat="1" ht="13.5" customHeight="1">
      <c r="B38" s="18"/>
      <c r="C38" s="18"/>
      <c r="F38" s="18"/>
      <c r="G38" s="18"/>
      <c r="H38" s="18"/>
      <c r="I38" s="18"/>
      <c r="J38" s="18"/>
      <c r="K38" s="18"/>
      <c r="L38" s="18"/>
      <c r="M38" s="18"/>
      <c r="N38" s="18" t="s">
        <v>317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s="1" customFormat="1" ht="13.5" customHeight="1">
      <c r="D39" s="19"/>
      <c r="E39" s="19"/>
    </row>
    <row r="40" spans="2:24" s="1" customFormat="1" ht="13.5" customHeight="1">
      <c r="B40" s="18"/>
      <c r="C40" s="18"/>
      <c r="D40" s="18" t="s">
        <v>235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s="5" customFormat="1" ht="13.5" customHeight="1"/>
    <row r="42" spans="2:24" s="1" customFormat="1" ht="13.5" customHeight="1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/>
    <row r="44" spans="2:24" s="1" customFormat="1" ht="13.5" customHeight="1">
      <c r="B44" s="18"/>
      <c r="C44" s="18"/>
      <c r="D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 t="s">
        <v>227</v>
      </c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E45" s="19"/>
    </row>
    <row r="46" spans="2:24" s="1" customFormat="1" ht="13.5" customHeight="1">
      <c r="B46" s="18"/>
      <c r="C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C48" s="18"/>
      <c r="D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B49" s="19"/>
      <c r="E49" s="19"/>
    </row>
    <row r="50" spans="2:24" s="1" customFormat="1" ht="13.5" customHeight="1">
      <c r="B50" s="18"/>
      <c r="C50" s="18"/>
      <c r="D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E51" s="19"/>
    </row>
    <row r="52" spans="2:24" s="1" customFormat="1" ht="13.5" customHeight="1">
      <c r="B52" s="18"/>
      <c r="C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 customHeight="1">
      <c r="D53" s="19"/>
      <c r="E53" s="19"/>
    </row>
    <row r="54" spans="2:24" s="1" customFormat="1" ht="13.5" customHeight="1">
      <c r="B54" s="18"/>
      <c r="C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s="1" customFormat="1" ht="13.5" customHeight="1">
      <c r="D55" s="19"/>
      <c r="E55" s="19"/>
    </row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</sheetData>
  <mergeCells count="3">
    <mergeCell ref="F9:I9"/>
    <mergeCell ref="G13:J13"/>
    <mergeCell ref="O9:P9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75E2-1826-4DE1-86CF-F2ECA110D195}">
  <sheetPr>
    <tabColor theme="0" tint="-0.34998626667073579"/>
  </sheetPr>
  <dimension ref="A1:AD160"/>
  <sheetViews>
    <sheetView topLeftCell="A15" zoomScale="120" zoomScaleNormal="120" workbookViewId="0">
      <selection activeCell="N12" sqref="N1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165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101"/>
      <c r="C7" s="102" t="s">
        <v>166</v>
      </c>
      <c r="D7" s="102"/>
      <c r="E7" s="102"/>
      <c r="F7" s="102"/>
      <c r="G7" s="102"/>
      <c r="H7" s="102"/>
      <c r="I7" s="103"/>
      <c r="J7" s="103"/>
      <c r="K7" s="103"/>
      <c r="N7" s="3" t="s">
        <v>243</v>
      </c>
    </row>
    <row r="8" spans="1:29" s="8" customFormat="1" ht="15" customHeight="1">
      <c r="B8" s="308" t="s">
        <v>167</v>
      </c>
      <c r="C8" s="308"/>
      <c r="D8" s="99" t="s">
        <v>133</v>
      </c>
      <c r="E8" s="99"/>
      <c r="F8" s="1" t="s">
        <v>168</v>
      </c>
      <c r="G8" s="99"/>
      <c r="H8" s="99"/>
      <c r="I8" s="99"/>
      <c r="J8" s="99"/>
      <c r="K8" s="99"/>
      <c r="L8" s="85"/>
      <c r="O8" s="8" t="s">
        <v>7</v>
      </c>
      <c r="AC8" s="10"/>
    </row>
    <row r="9" spans="1:29" s="8" customFormat="1" ht="13.5" customHeight="1">
      <c r="B9" s="99"/>
      <c r="C9" s="99"/>
      <c r="D9" s="99"/>
      <c r="E9" s="99"/>
      <c r="F9" s="99"/>
      <c r="G9" s="99"/>
      <c r="H9" s="99"/>
      <c r="I9" s="100"/>
      <c r="J9" s="100"/>
      <c r="K9" s="100"/>
      <c r="L9" s="85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B10" s="104" t="s">
        <v>169</v>
      </c>
      <c r="C10" s="104"/>
      <c r="D10" s="104"/>
      <c r="E10" s="104"/>
      <c r="F10" s="104"/>
      <c r="G10" s="104"/>
      <c r="H10" s="104"/>
      <c r="I10" s="105"/>
      <c r="J10" s="105"/>
      <c r="K10" s="105"/>
      <c r="N10" s="5" t="s">
        <v>234</v>
      </c>
      <c r="AC10" s="12"/>
    </row>
    <row r="11" spans="1:29" s="5" customFormat="1" ht="13.5" customHeight="1">
      <c r="B11" s="104" t="s">
        <v>170</v>
      </c>
      <c r="C11" s="104"/>
      <c r="D11" s="104"/>
      <c r="E11" s="104"/>
      <c r="F11" s="104"/>
      <c r="G11" s="104"/>
      <c r="H11" s="104"/>
      <c r="I11" s="104"/>
      <c r="J11" s="104"/>
      <c r="K11" s="105"/>
      <c r="N11" s="5" t="s">
        <v>330</v>
      </c>
      <c r="AC11" s="12"/>
    </row>
    <row r="12" spans="1:29" s="5" customFormat="1" ht="13.5" customHeight="1">
      <c r="B12" s="104" t="s">
        <v>171</v>
      </c>
      <c r="C12" s="104"/>
      <c r="D12" s="104"/>
      <c r="E12" s="104"/>
      <c r="F12" s="104"/>
      <c r="G12" s="104" t="s">
        <v>172</v>
      </c>
      <c r="H12" s="104"/>
      <c r="I12" s="104"/>
      <c r="J12" s="104"/>
      <c r="K12" s="104"/>
      <c r="N12" s="5" t="s">
        <v>235</v>
      </c>
      <c r="S12" s="5" t="s">
        <v>236</v>
      </c>
    </row>
    <row r="13" spans="1:29" s="5" customFormat="1" ht="13.5" customHeight="1">
      <c r="B13" s="104" t="s">
        <v>173</v>
      </c>
      <c r="C13" s="104"/>
      <c r="D13" s="104"/>
      <c r="E13" s="104"/>
      <c r="F13" s="104"/>
      <c r="G13" s="104"/>
      <c r="H13" s="104"/>
      <c r="I13" s="104"/>
      <c r="J13" s="104"/>
      <c r="K13" s="104"/>
    </row>
    <row r="14" spans="1:29" s="5" customFormat="1" ht="13.5" customHeight="1"/>
    <row r="15" spans="1:29" s="5" customFormat="1" ht="3.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9" s="5" customFormat="1" ht="13.5" customHeight="1"/>
    <row r="17" spans="2:30" s="5" customFormat="1" ht="13.5" customHeight="1"/>
    <row r="18" spans="2:30" s="1" customFormat="1" ht="13.5" customHeight="1">
      <c r="B18" s="2" t="s">
        <v>0</v>
      </c>
      <c r="K18" s="7"/>
    </row>
    <row r="19" spans="2:30" s="1" customFormat="1" ht="19.5" customHeight="1">
      <c r="B19" s="18"/>
      <c r="C19" s="23" t="str">
        <f>LIXIL!$C$19</f>
        <v>伊藤友章</v>
      </c>
      <c r="D19" s="18"/>
      <c r="E19" s="18"/>
      <c r="F19" s="18"/>
      <c r="G19" s="18"/>
      <c r="H19" s="18"/>
      <c r="I19" s="18"/>
      <c r="J19" s="18"/>
      <c r="K19" s="18"/>
      <c r="L19" s="18"/>
    </row>
    <row r="20" spans="2:30" s="1" customFormat="1" ht="13.5" customHeight="1">
      <c r="N20" s="1" t="s">
        <v>8</v>
      </c>
      <c r="T20" s="1" t="s">
        <v>41</v>
      </c>
    </row>
    <row r="21" spans="2:30" s="1" customFormat="1" ht="13.5" customHeight="1">
      <c r="N21" s="175" t="s">
        <v>258</v>
      </c>
      <c r="O21" s="175"/>
      <c r="P21" s="175"/>
      <c r="Q21" s="175"/>
      <c r="R21" s="175"/>
      <c r="T21" s="309"/>
      <c r="U21" s="309"/>
      <c r="V21" s="309"/>
      <c r="W21" s="309"/>
      <c r="X21" s="309"/>
      <c r="Y21" s="309"/>
      <c r="AB21" s="1" t="s">
        <v>174</v>
      </c>
    </row>
    <row r="22" spans="2:30" s="1" customFormat="1" ht="13.5" customHeight="1">
      <c r="T22" s="19" t="s">
        <v>182</v>
      </c>
      <c r="U22" s="19"/>
      <c r="V22" s="19"/>
      <c r="W22" s="19"/>
      <c r="X22" s="19"/>
      <c r="Y22" s="19"/>
    </row>
    <row r="23" spans="2:30" s="1" customFormat="1" ht="13.5" customHeight="1">
      <c r="B23" s="2" t="s">
        <v>135</v>
      </c>
      <c r="AB23" s="1" t="s">
        <v>17</v>
      </c>
      <c r="AD23" s="1" t="s">
        <v>184</v>
      </c>
    </row>
    <row r="24" spans="2:30" s="1" customFormat="1" ht="19.5" customHeight="1">
      <c r="B24" s="18"/>
      <c r="C24" s="23" t="str">
        <f>入力シート!D7</f>
        <v>静岡県掛川市宮脇字五輪田1059番2,1059番9,1060番17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AB24" s="1" t="s">
        <v>175</v>
      </c>
      <c r="AD24" s="1" t="s">
        <v>183</v>
      </c>
    </row>
    <row r="25" spans="2:30" s="1" customFormat="1" ht="13.5" customHeight="1"/>
    <row r="26" spans="2:30" s="1" customFormat="1" ht="13.5" customHeight="1">
      <c r="AB26" s="1" t="s">
        <v>187</v>
      </c>
    </row>
    <row r="27" spans="2:30" s="1" customFormat="1" ht="13.5" customHeight="1">
      <c r="B27" s="21" t="s">
        <v>15</v>
      </c>
      <c r="C27" s="22"/>
      <c r="D27" s="22"/>
      <c r="E27" s="22"/>
      <c r="F27" s="20"/>
      <c r="G27" s="18" t="str">
        <f>LIXIL!G28</f>
        <v>青島</v>
      </c>
      <c r="H27" s="18"/>
      <c r="I27" s="18"/>
      <c r="J27" s="18"/>
      <c r="K27" s="18"/>
      <c r="L27" s="18"/>
      <c r="M27" s="18"/>
      <c r="N27" s="18" t="str">
        <f>LIXIL!N28</f>
        <v>aoshima.s@hakuto-k.jp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30" s="1" customFormat="1" ht="13.5" customHeight="1">
      <c r="D28" s="19"/>
      <c r="E28" s="19"/>
    </row>
    <row r="29" spans="2:30" s="1" customFormat="1" ht="13.5" customHeight="1">
      <c r="B29" s="18" t="s">
        <v>42</v>
      </c>
      <c r="C29" s="18"/>
      <c r="E29" s="18"/>
      <c r="G29" s="18">
        <f>LIXIL!G30</f>
        <v>0</v>
      </c>
      <c r="H29" s="18"/>
      <c r="I29" s="18"/>
      <c r="J29" s="18"/>
      <c r="K29" s="18"/>
      <c r="L29" s="18"/>
      <c r="M29" s="18"/>
      <c r="N29" s="18" t="e">
        <f>LIXIL!N30</f>
        <v>#N/A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30" s="1" customFormat="1" ht="13.5" customHeight="1">
      <c r="B30" s="19"/>
      <c r="D30" s="19"/>
    </row>
    <row r="31" spans="2:30" s="1" customFormat="1" ht="13.5" customHeight="1">
      <c r="B31" s="18" t="s">
        <v>26</v>
      </c>
      <c r="C31" s="18"/>
      <c r="D31" s="18"/>
      <c r="E31" s="18"/>
      <c r="G31" s="18" t="str">
        <f>LIXIL!G32</f>
        <v>2025/1/14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30" s="1" customFormat="1" ht="13.5" customHeight="1"/>
    <row r="33" spans="2:24" s="1" customFormat="1" ht="13.5" customHeight="1">
      <c r="B33" s="18" t="s">
        <v>34</v>
      </c>
      <c r="C33" s="18"/>
      <c r="D33" s="18"/>
      <c r="E33" s="18"/>
      <c r="G33" s="81"/>
      <c r="H33" s="18" t="s">
        <v>176</v>
      </c>
      <c r="I33" s="18"/>
      <c r="J33" s="18"/>
      <c r="K33" s="18"/>
      <c r="L33" s="18"/>
      <c r="M33" s="18"/>
      <c r="N33" s="18"/>
      <c r="O33" s="18"/>
      <c r="P33" s="18"/>
      <c r="Q33" s="18" t="s">
        <v>128</v>
      </c>
      <c r="R33" s="18"/>
      <c r="S33" s="18"/>
      <c r="T33" s="302" t="s">
        <v>177</v>
      </c>
      <c r="U33" s="302"/>
      <c r="V33" s="302"/>
      <c r="W33" s="302"/>
      <c r="X33" s="18" t="s">
        <v>127</v>
      </c>
    </row>
    <row r="34" spans="2:24" s="1" customFormat="1" ht="13.5" customHeight="1"/>
    <row r="35" spans="2:24" s="1" customFormat="1" ht="13.5" customHeight="1">
      <c r="B35" s="18" t="s">
        <v>35</v>
      </c>
      <c r="C35" s="18"/>
      <c r="D35" s="18"/>
      <c r="G35" s="81"/>
      <c r="H35" s="18" t="s">
        <v>176</v>
      </c>
      <c r="I35" s="18"/>
      <c r="J35" s="18"/>
      <c r="K35" s="18"/>
      <c r="L35" s="18"/>
      <c r="M35" s="18"/>
      <c r="N35" s="18"/>
      <c r="O35" s="18"/>
      <c r="P35" s="18"/>
      <c r="Q35" s="18" t="s">
        <v>128</v>
      </c>
      <c r="R35" s="18"/>
      <c r="S35" s="18"/>
      <c r="T35" s="302" t="s">
        <v>178</v>
      </c>
      <c r="U35" s="302"/>
      <c r="V35" s="302"/>
      <c r="W35" s="302"/>
      <c r="X35" s="18" t="s">
        <v>127</v>
      </c>
    </row>
    <row r="36" spans="2:24" s="1" customFormat="1" ht="13.5" customHeight="1">
      <c r="E36" s="19"/>
    </row>
    <row r="37" spans="2:24" s="1" customFormat="1" ht="13.5" customHeight="1">
      <c r="B37" s="18" t="s">
        <v>36</v>
      </c>
      <c r="C37" s="18"/>
      <c r="D37" s="18"/>
      <c r="G37" s="81"/>
      <c r="H37" s="18"/>
      <c r="I37" s="18"/>
      <c r="J37" s="18"/>
      <c r="K37" s="18"/>
      <c r="L37" s="18"/>
      <c r="M37" s="18"/>
      <c r="N37" s="18"/>
      <c r="O37" s="18"/>
      <c r="P37" s="18"/>
      <c r="Q37" s="18" t="s">
        <v>128</v>
      </c>
      <c r="R37" s="18"/>
      <c r="S37" s="18"/>
      <c r="T37" s="302" t="s">
        <v>126</v>
      </c>
      <c r="U37" s="302"/>
      <c r="V37" s="302"/>
      <c r="W37" s="302"/>
      <c r="X37" s="18" t="s">
        <v>127</v>
      </c>
    </row>
    <row r="38" spans="2:24" s="1" customFormat="1" ht="13.5" customHeight="1">
      <c r="E38" s="19"/>
    </row>
    <row r="39" spans="2:24" s="1" customFormat="1" ht="13.5" customHeight="1">
      <c r="B39" s="18" t="s">
        <v>38</v>
      </c>
      <c r="C39" s="18"/>
      <c r="G39" s="81"/>
      <c r="H39" s="18" t="s">
        <v>179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s="1" customFormat="1" ht="13.5" customHeight="1">
      <c r="D40" s="19"/>
      <c r="E40" s="19"/>
    </row>
    <row r="41" spans="2:24" s="1" customFormat="1" ht="13.5" customHeight="1">
      <c r="B41" s="18" t="s">
        <v>39</v>
      </c>
      <c r="C41" s="18"/>
      <c r="G41" s="81"/>
      <c r="H41" s="18" t="s">
        <v>11</v>
      </c>
      <c r="I41" s="18"/>
      <c r="J41" s="18"/>
      <c r="K41" s="81"/>
      <c r="L41" s="18" t="s">
        <v>180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s="1" customFormat="1" ht="13.5" customHeight="1">
      <c r="D42" s="19"/>
      <c r="E42" s="19"/>
    </row>
    <row r="43" spans="2:24" s="1" customFormat="1" ht="13.5" customHeight="1">
      <c r="B43" s="1" t="s">
        <v>181</v>
      </c>
      <c r="C43" s="18"/>
      <c r="D43" s="18"/>
      <c r="G43" s="81" t="s">
        <v>186</v>
      </c>
      <c r="H43" s="18"/>
      <c r="I43" s="18"/>
      <c r="J43" s="18"/>
      <c r="K43" s="18"/>
      <c r="L43" s="18"/>
      <c r="M43" s="18"/>
      <c r="N43" s="18" t="str">
        <f>O9</f>
        <v>倉田</v>
      </c>
      <c r="O43" s="18"/>
      <c r="P43" s="18" t="str">
        <f>G27</f>
        <v>青島</v>
      </c>
      <c r="Q43" s="18"/>
      <c r="R43" s="18">
        <f>G29</f>
        <v>0</v>
      </c>
      <c r="S43" s="18"/>
      <c r="T43" s="18"/>
      <c r="U43" s="18"/>
      <c r="V43" s="18"/>
      <c r="W43" s="18"/>
      <c r="X43" s="18"/>
    </row>
    <row r="44" spans="2:24" s="1" customFormat="1" ht="13.5" customHeight="1">
      <c r="B44" s="19"/>
      <c r="E44" s="19"/>
    </row>
    <row r="45" spans="2:24" s="1" customFormat="1" ht="13.5" customHeight="1">
      <c r="B45" s="18"/>
      <c r="C45" s="18"/>
      <c r="D45" s="18"/>
      <c r="G45" s="81"/>
      <c r="H45" s="18"/>
      <c r="I45" s="18"/>
      <c r="J45" s="18"/>
      <c r="K45" s="81"/>
      <c r="L45" s="18"/>
      <c r="M45" s="18"/>
      <c r="N45" s="18"/>
      <c r="O45" s="18"/>
      <c r="P45" s="18"/>
      <c r="Q45" s="18"/>
      <c r="R45" s="18"/>
      <c r="S45" s="18" t="s">
        <v>185</v>
      </c>
      <c r="T45" s="18"/>
      <c r="U45" s="18"/>
      <c r="V45" s="18"/>
      <c r="W45" s="18"/>
      <c r="X45" s="18"/>
    </row>
    <row r="46" spans="2:24" s="1" customFormat="1" ht="13.5" customHeight="1">
      <c r="D46" s="19"/>
      <c r="E46" s="19"/>
    </row>
    <row r="47" spans="2:24" s="1" customFormat="1" ht="13.5" customHeight="1">
      <c r="B47" s="18"/>
      <c r="C47" s="18"/>
      <c r="G47" s="81"/>
      <c r="H47" s="18"/>
      <c r="I47" s="18"/>
      <c r="J47" s="18"/>
      <c r="K47" s="81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s="1" customFormat="1" ht="13.5" customHeight="1">
      <c r="D48" s="19"/>
      <c r="E48" s="19"/>
    </row>
    <row r="49" spans="2:24" s="1" customFormat="1" ht="13.5" customHeight="1">
      <c r="B49" s="18"/>
      <c r="C49" s="18"/>
      <c r="G49" s="81"/>
      <c r="H49" s="18"/>
      <c r="I49" s="18"/>
      <c r="J49" s="18"/>
      <c r="K49" s="81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s="1" customFormat="1" ht="13.5" customHeight="1">
      <c r="D50" s="19"/>
      <c r="E50" s="19"/>
    </row>
    <row r="51" spans="2:24" s="1" customFormat="1" ht="13.5" customHeight="1">
      <c r="B51" s="18"/>
      <c r="C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s="1" customFormat="1" ht="13.5" customHeight="1">
      <c r="D52" s="19"/>
      <c r="E52" s="19"/>
    </row>
    <row r="53" spans="2:24" s="1" customFormat="1" ht="13.5" customHeight="1">
      <c r="B53" s="18"/>
      <c r="C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s="1" customFormat="1" ht="13.5" customHeight="1">
      <c r="D54" s="19"/>
      <c r="E54" s="19"/>
    </row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  <row r="160" s="1" customFormat="1" ht="13.5"/>
  </sheetData>
  <mergeCells count="7">
    <mergeCell ref="T35:W35"/>
    <mergeCell ref="T37:W37"/>
    <mergeCell ref="B8:C8"/>
    <mergeCell ref="N21:R21"/>
    <mergeCell ref="O9:P9"/>
    <mergeCell ref="T21:Y21"/>
    <mergeCell ref="T33:W33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2" r:id="rId4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33</xdr:row>
                    <xdr:rowOff>171450</xdr:rowOff>
                  </from>
                  <to>
                    <xdr:col>7</xdr:col>
                    <xdr:colOff>28575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5" name="Check Box 3">
              <controlPr defaultSize="0" autoFill="0" autoLine="0" autoPict="0">
                <anchor moveWithCells="1">
                  <from>
                    <xdr:col>6</xdr:col>
                    <xdr:colOff>28575</xdr:colOff>
                    <xdr:row>31</xdr:row>
                    <xdr:rowOff>171450</xdr:rowOff>
                  </from>
                  <to>
                    <xdr:col>7</xdr:col>
                    <xdr:colOff>28575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6" name="Check Box 5">
              <controlPr defaultSize="0" autoFill="0" autoLine="0" autoPict="0">
                <anchor moveWithCells="1">
                  <from>
                    <xdr:col>15</xdr:col>
                    <xdr:colOff>47625</xdr:colOff>
                    <xdr:row>32</xdr:row>
                    <xdr:rowOff>0</xdr:rowOff>
                  </from>
                  <to>
                    <xdr:col>16</xdr:col>
                    <xdr:colOff>47625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7" name="Check Box 6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0</xdr:rowOff>
                  </from>
                  <to>
                    <xdr:col>7</xdr:col>
                    <xdr:colOff>19050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8" name="Check Box 7">
              <controlPr defaultSize="0" autoFill="0" autoLine="0" autoPict="0">
                <anchor moveWithCells="1">
                  <from>
                    <xdr:col>15</xdr:col>
                    <xdr:colOff>47625</xdr:colOff>
                    <xdr:row>34</xdr:row>
                    <xdr:rowOff>0</xdr:rowOff>
                  </from>
                  <to>
                    <xdr:col>16</xdr:col>
                    <xdr:colOff>47625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9" name="Check Box 8">
              <controlPr defaultSize="0" autoFill="0" autoLine="0" autoPict="0">
                <anchor moveWithCells="1">
                  <from>
                    <xdr:col>10</xdr:col>
                    <xdr:colOff>38100</xdr:colOff>
                    <xdr:row>37</xdr:row>
                    <xdr:rowOff>171450</xdr:rowOff>
                  </from>
                  <to>
                    <xdr:col>11</xdr:col>
                    <xdr:colOff>38100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0" name="Check Box 9">
              <controlPr defaultSize="0" autoFill="0" autoLine="0" autoPict="0">
                <anchor moveWithCells="1">
                  <from>
                    <xdr:col>6</xdr:col>
                    <xdr:colOff>28575</xdr:colOff>
                    <xdr:row>37</xdr:row>
                    <xdr:rowOff>171450</xdr:rowOff>
                  </from>
                  <to>
                    <xdr:col>7</xdr:col>
                    <xdr:colOff>28575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1" name="Check Box 10">
              <controlPr defaultSize="0" autoFill="0" autoLine="0" autoPict="0">
                <anchor moveWithCells="1">
                  <from>
                    <xdr:col>14</xdr:col>
                    <xdr:colOff>38100</xdr:colOff>
                    <xdr:row>39</xdr:row>
                    <xdr:rowOff>171450</xdr:rowOff>
                  </from>
                  <to>
                    <xdr:col>15</xdr:col>
                    <xdr:colOff>38100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2" name="Check Box 11">
              <controlPr defaultSize="0" autoFill="0" autoLine="0" autoPict="0">
                <anchor moveWithCells="1">
                  <from>
                    <xdr:col>10</xdr:col>
                    <xdr:colOff>28575</xdr:colOff>
                    <xdr:row>39</xdr:row>
                    <xdr:rowOff>171450</xdr:rowOff>
                  </from>
                  <to>
                    <xdr:col>11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3" name="Check Box 12">
              <controlPr defaultSize="0" autoFill="0" autoLine="0" autoPict="0">
                <anchor moveWithCells="1">
                  <from>
                    <xdr:col>6</xdr:col>
                    <xdr:colOff>28575</xdr:colOff>
                    <xdr:row>40</xdr:row>
                    <xdr:rowOff>0</xdr:rowOff>
                  </from>
                  <to>
                    <xdr:col>7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14" name="Check Box 23">
              <controlPr defaultSize="0" autoFill="0" autoLine="0" autoPict="0">
                <anchor moveWithCells="1">
                  <from>
                    <xdr:col>15</xdr:col>
                    <xdr:colOff>47625</xdr:colOff>
                    <xdr:row>36</xdr:row>
                    <xdr:rowOff>0</xdr:rowOff>
                  </from>
                  <to>
                    <xdr:col>16</xdr:col>
                    <xdr:colOff>47625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15" name="Check Box 25">
              <controlPr defaultSize="0" autoFill="0" autoLine="0" autoPict="0">
                <anchor moveWithCells="1">
                  <from>
                    <xdr:col>6</xdr:col>
                    <xdr:colOff>28575</xdr:colOff>
                    <xdr:row>33</xdr:row>
                    <xdr:rowOff>171450</xdr:rowOff>
                  </from>
                  <to>
                    <xdr:col>7</xdr:col>
                    <xdr:colOff>28575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16" name="Check Box 26">
              <controlPr defaultSize="0" autoFill="0" autoLine="0" autoPict="0">
                <anchor moveWithCells="1">
                  <from>
                    <xdr:col>6</xdr:col>
                    <xdr:colOff>28575</xdr:colOff>
                    <xdr:row>31</xdr:row>
                    <xdr:rowOff>171450</xdr:rowOff>
                  </from>
                  <to>
                    <xdr:col>7</xdr:col>
                    <xdr:colOff>28575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17" name="Check Box 28">
              <controlPr defaultSize="0" autoFill="0" autoLine="0" autoPict="0">
                <anchor moveWithCells="1">
                  <from>
                    <xdr:col>15</xdr:col>
                    <xdr:colOff>47625</xdr:colOff>
                    <xdr:row>32</xdr:row>
                    <xdr:rowOff>0</xdr:rowOff>
                  </from>
                  <to>
                    <xdr:col>16</xdr:col>
                    <xdr:colOff>47625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18" name="Check Box 29">
              <controlPr defaultSize="0" autoFill="0" autoLine="0" autoPict="0">
                <anchor moveWithCells="1">
                  <from>
                    <xdr:col>6</xdr:col>
                    <xdr:colOff>19050</xdr:colOff>
                    <xdr:row>36</xdr:row>
                    <xdr:rowOff>0</xdr:rowOff>
                  </from>
                  <to>
                    <xdr:col>7</xdr:col>
                    <xdr:colOff>19050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19" name="Check Box 30">
              <controlPr defaultSize="0" autoFill="0" autoLine="0" autoPict="0">
                <anchor moveWithCells="1">
                  <from>
                    <xdr:col>15</xdr:col>
                    <xdr:colOff>47625</xdr:colOff>
                    <xdr:row>34</xdr:row>
                    <xdr:rowOff>0</xdr:rowOff>
                  </from>
                  <to>
                    <xdr:col>16</xdr:col>
                    <xdr:colOff>47625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20" name="Check Box 31">
              <controlPr defaultSize="0" autoFill="0" autoLine="0" autoPict="0">
                <anchor moveWithCells="1">
                  <from>
                    <xdr:col>6</xdr:col>
                    <xdr:colOff>28575</xdr:colOff>
                    <xdr:row>37</xdr:row>
                    <xdr:rowOff>171450</xdr:rowOff>
                  </from>
                  <to>
                    <xdr:col>7</xdr:col>
                    <xdr:colOff>28575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21" name="Check Box 32">
              <controlPr defaultSize="0" autoFill="0" autoLine="0" autoPict="0">
                <anchor moveWithCells="1">
                  <from>
                    <xdr:col>10</xdr:col>
                    <xdr:colOff>28575</xdr:colOff>
                    <xdr:row>39</xdr:row>
                    <xdr:rowOff>171450</xdr:rowOff>
                  </from>
                  <to>
                    <xdr:col>11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22" name="Check Box 33">
              <controlPr defaultSize="0" autoFill="0" autoLine="0" autoPict="0">
                <anchor moveWithCells="1">
                  <from>
                    <xdr:col>6</xdr:col>
                    <xdr:colOff>28575</xdr:colOff>
                    <xdr:row>40</xdr:row>
                    <xdr:rowOff>0</xdr:rowOff>
                  </from>
                  <to>
                    <xdr:col>7</xdr:col>
                    <xdr:colOff>28575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23" name="Check Box 34">
              <controlPr defaultSize="0" autoFill="0" autoLine="0" autoPict="0">
                <anchor moveWithCells="1">
                  <from>
                    <xdr:col>15</xdr:col>
                    <xdr:colOff>47625</xdr:colOff>
                    <xdr:row>36</xdr:row>
                    <xdr:rowOff>0</xdr:rowOff>
                  </from>
                  <to>
                    <xdr:col>16</xdr:col>
                    <xdr:colOff>47625</xdr:colOff>
                    <xdr:row>37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E30B-8C4E-4D7A-9A70-0B368E8ED187}">
  <sheetPr>
    <tabColor theme="0" tint="-0.34998626667073579"/>
  </sheetPr>
  <dimension ref="A1:AC159"/>
  <sheetViews>
    <sheetView zoomScale="120" zoomScaleNormal="120" workbookViewId="0">
      <selection activeCell="N12" sqref="N12"/>
    </sheetView>
  </sheetViews>
  <sheetFormatPr defaultRowHeight="18.75"/>
  <cols>
    <col min="1" max="12" width="3.625" customWidth="1"/>
    <col min="13" max="13" width="2.125" customWidth="1"/>
    <col min="14" max="27" width="3.625" customWidth="1"/>
  </cols>
  <sheetData>
    <row r="1" spans="1:29" ht="13.5" customHeight="1"/>
    <row r="2" spans="1:29" ht="13.5" customHeight="1"/>
    <row r="3" spans="1:29" s="1" customFormat="1" ht="21">
      <c r="A3" s="6" t="s">
        <v>25</v>
      </c>
      <c r="K3" s="14"/>
    </row>
    <row r="4" spans="1:29" s="1" customFormat="1" ht="3.6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9" s="1" customFormat="1" ht="15.75" customHeight="1">
      <c r="A5" s="6"/>
    </row>
    <row r="6" spans="1:29" s="1" customFormat="1" ht="13.5" customHeight="1">
      <c r="B6" s="2" t="s">
        <v>2</v>
      </c>
      <c r="N6" s="2" t="s">
        <v>1</v>
      </c>
      <c r="O6" s="2"/>
      <c r="P6" s="2"/>
      <c r="Q6" s="2"/>
    </row>
    <row r="7" spans="1:29" s="1" customFormat="1" ht="20.100000000000001" customHeight="1">
      <c r="B7" s="3" t="s">
        <v>6</v>
      </c>
      <c r="C7" s="4"/>
      <c r="D7" s="4"/>
      <c r="E7" s="4"/>
      <c r="F7" s="4"/>
      <c r="G7" s="4"/>
      <c r="H7" s="4"/>
      <c r="N7" s="3" t="s">
        <v>243</v>
      </c>
    </row>
    <row r="8" spans="1:29" s="8" customFormat="1" ht="15" customHeight="1">
      <c r="B8" s="174" t="s">
        <v>132</v>
      </c>
      <c r="C8" s="174"/>
      <c r="D8" s="8" t="s">
        <v>131</v>
      </c>
      <c r="F8" s="8" t="s">
        <v>13</v>
      </c>
      <c r="O8" s="8" t="s">
        <v>7</v>
      </c>
      <c r="AC8" s="10"/>
    </row>
    <row r="9" spans="1:29" s="8" customFormat="1" ht="13.5" customHeight="1">
      <c r="B9" s="174" t="s">
        <v>134</v>
      </c>
      <c r="C9" s="174"/>
      <c r="D9" s="8" t="s">
        <v>130</v>
      </c>
      <c r="F9" s="8" t="s">
        <v>14</v>
      </c>
      <c r="I9" s="9"/>
      <c r="J9" s="9"/>
      <c r="K9" s="9"/>
      <c r="O9" s="174" t="str">
        <f>入力シート!D22</f>
        <v>倉田</v>
      </c>
      <c r="P9" s="174"/>
      <c r="Q9" s="8" t="str">
        <f>入力シート!E22</f>
        <v xml:space="preserve">	kurata.tu@hakuto-k.jp</v>
      </c>
      <c r="AC9" s="10"/>
    </row>
    <row r="10" spans="1:29" s="5" customFormat="1" ht="13.5" customHeight="1">
      <c r="B10" s="5" t="s">
        <v>16</v>
      </c>
      <c r="I10" s="11"/>
      <c r="J10" s="11"/>
      <c r="K10" s="11"/>
      <c r="N10" s="5" t="s">
        <v>234</v>
      </c>
      <c r="AC10" s="12"/>
    </row>
    <row r="11" spans="1:29" s="5" customFormat="1" ht="13.5" customHeight="1">
      <c r="B11" s="5" t="s">
        <v>3</v>
      </c>
      <c r="K11" s="11"/>
      <c r="N11" s="5" t="s">
        <v>330</v>
      </c>
      <c r="AC11" s="12"/>
    </row>
    <row r="12" spans="1:29" s="5" customFormat="1" ht="13.5" customHeight="1">
      <c r="B12" s="5" t="s">
        <v>4</v>
      </c>
      <c r="G12" s="5" t="s">
        <v>5</v>
      </c>
      <c r="N12" s="5" t="s">
        <v>235</v>
      </c>
      <c r="S12" s="5" t="s">
        <v>236</v>
      </c>
    </row>
    <row r="13" spans="1:29" s="5" customFormat="1" ht="13.5" customHeight="1"/>
    <row r="14" spans="1:29" s="5" customFormat="1" ht="3.6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9" s="5" customFormat="1" ht="13.5" customHeight="1"/>
    <row r="16" spans="1:29" s="5" customFormat="1" ht="13.5" customHeight="1"/>
    <row r="17" spans="2:24" s="1" customFormat="1" ht="13.5" customHeight="1">
      <c r="B17" s="2" t="s">
        <v>0</v>
      </c>
      <c r="K17" s="7"/>
    </row>
    <row r="18" spans="2:24" s="1" customFormat="1" ht="19.5" customHeight="1">
      <c r="B18" s="18"/>
      <c r="C18" s="23" t="str">
        <f>入力シート!D4</f>
        <v>伊藤友章</v>
      </c>
      <c r="D18" s="18"/>
      <c r="E18" s="18"/>
      <c r="F18" s="18"/>
      <c r="G18" s="18"/>
      <c r="H18" s="18"/>
      <c r="I18" s="18"/>
      <c r="J18" s="18"/>
      <c r="K18" s="18"/>
      <c r="L18" s="18"/>
    </row>
    <row r="19" spans="2:24" s="1" customFormat="1" ht="13.5" customHeight="1">
      <c r="N19" s="1" t="s">
        <v>8</v>
      </c>
      <c r="T19" s="1" t="s">
        <v>9</v>
      </c>
    </row>
    <row r="20" spans="2:24" s="1" customFormat="1" ht="13.5" customHeight="1">
      <c r="N20" s="175"/>
      <c r="O20" s="175"/>
      <c r="P20" s="175"/>
      <c r="Q20" s="175"/>
      <c r="R20" s="175"/>
      <c r="T20" s="175"/>
      <c r="U20" s="175"/>
      <c r="V20" s="175"/>
      <c r="W20" s="175"/>
      <c r="X20" s="175"/>
    </row>
    <row r="21" spans="2:24" s="1" customFormat="1" ht="13.5" customHeight="1">
      <c r="U21" s="2"/>
      <c r="X21" s="82" t="s">
        <v>136</v>
      </c>
    </row>
    <row r="22" spans="2:24" s="1" customFormat="1" ht="13.5" customHeight="1">
      <c r="B22" s="2" t="s">
        <v>135</v>
      </c>
    </row>
    <row r="23" spans="2:24" s="1" customFormat="1" ht="19.5" customHeight="1">
      <c r="B23" s="18"/>
      <c r="C23" s="23" t="str">
        <f>入力シート!D7</f>
        <v>静岡県掛川市宮脇字五輪田1059番2,1059番9,1060番17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s="1" customFormat="1" ht="13.5" customHeight="1"/>
    <row r="25" spans="2:24" s="1" customFormat="1" ht="13.5" customHeight="1"/>
    <row r="26" spans="2:24" s="1" customFormat="1" ht="13.5" customHeight="1">
      <c r="B26" s="21" t="s">
        <v>15</v>
      </c>
      <c r="C26" s="22"/>
      <c r="D26" s="22"/>
      <c r="E26" s="22"/>
      <c r="F26" s="20"/>
      <c r="G26" s="18" t="str">
        <f>入力シート!D11</f>
        <v>青島</v>
      </c>
      <c r="H26" s="18"/>
      <c r="I26" s="18" t="str">
        <f>入力シート!E11</f>
        <v>aoshima.s@hakuto-k.jp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s="1" customFormat="1" ht="13.5" customHeight="1">
      <c r="B27" s="19"/>
      <c r="D27" s="19"/>
    </row>
    <row r="28" spans="2:24" s="1" customFormat="1" ht="13.5" customHeight="1">
      <c r="B28" s="18" t="s">
        <v>27</v>
      </c>
      <c r="C28" s="18"/>
      <c r="D28" s="18"/>
      <c r="E28" s="18"/>
      <c r="G28" s="177" t="str">
        <f>入力シート!D29</f>
        <v>2024/11/30</v>
      </c>
      <c r="H28" s="177"/>
      <c r="I28" s="177"/>
      <c r="J28" s="17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s="1" customFormat="1" ht="13.5" customHeight="1"/>
    <row r="30" spans="2:24" s="1" customFormat="1" ht="13.5" customHeight="1">
      <c r="B30" s="18" t="s">
        <v>26</v>
      </c>
      <c r="C30" s="18"/>
      <c r="D30" s="18"/>
      <c r="E30" s="18"/>
      <c r="G30" s="179" t="str">
        <f>入力シート!D27</f>
        <v>2025/1/14</v>
      </c>
      <c r="H30" s="179"/>
      <c r="I30" s="179"/>
      <c r="J30" s="17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s="1" customFormat="1" ht="13.5" customHeight="1"/>
    <row r="32" spans="2:24" s="1" customFormat="1" ht="13.5" customHeight="1">
      <c r="B32" s="18" t="s">
        <v>12</v>
      </c>
      <c r="C32" s="18"/>
      <c r="D32" s="18"/>
      <c r="G32" s="18" t="str">
        <f>入力シート!D24</f>
        <v>浜岡総合設計事務所　西原　</v>
      </c>
      <c r="H32" s="18"/>
      <c r="I32" s="18"/>
      <c r="J32" s="18"/>
      <c r="K32" s="18"/>
      <c r="L32" s="18"/>
      <c r="M32" s="18"/>
      <c r="N32" s="18" t="s">
        <v>204</v>
      </c>
      <c r="O32" s="18"/>
      <c r="P32" s="18" t="str">
        <f>入力シート!E24</f>
        <v>k-nishi@proof.ocn.ne.jp</v>
      </c>
      <c r="Q32" s="18"/>
      <c r="R32" s="18"/>
      <c r="S32" s="18"/>
      <c r="T32" s="18"/>
      <c r="U32" s="18"/>
      <c r="V32" s="18"/>
      <c r="W32" s="18"/>
      <c r="X32" s="18"/>
    </row>
    <row r="33" spans="2:24" s="1" customFormat="1" ht="13.5" customHeight="1">
      <c r="E33" s="19"/>
    </row>
    <row r="34" spans="2:24" s="1" customFormat="1" ht="13.5" customHeight="1">
      <c r="B34" s="18" t="s">
        <v>203</v>
      </c>
      <c r="C34" s="18"/>
      <c r="G34" s="18" t="str">
        <f>入力シート!C55</f>
        <v>浜岡総合設計事務所　西原　</v>
      </c>
      <c r="H34" s="18"/>
      <c r="I34" s="18"/>
      <c r="J34" s="18"/>
      <c r="K34" s="18"/>
      <c r="L34" s="18"/>
      <c r="M34" s="18"/>
      <c r="N34" s="18" t="s">
        <v>204</v>
      </c>
      <c r="O34" s="18"/>
      <c r="P34" s="18" t="str">
        <f>入力シート!D56</f>
        <v>k-nishi@proof.ocn.ne.jp</v>
      </c>
      <c r="Q34" s="18"/>
      <c r="R34" s="18"/>
      <c r="S34" s="18"/>
      <c r="T34" s="18"/>
      <c r="U34" s="18"/>
      <c r="V34" s="18"/>
      <c r="W34" s="18"/>
      <c r="X34" s="18"/>
    </row>
    <row r="35" spans="2:24" s="1" customFormat="1" ht="13.5" customHeight="1">
      <c r="D35" s="19"/>
      <c r="E35" s="19"/>
    </row>
    <row r="36" spans="2:24" s="1" customFormat="1" ht="13.5" customHeight="1">
      <c r="B36" s="18" t="s">
        <v>199</v>
      </c>
      <c r="C36" s="18"/>
      <c r="G36" s="177" t="s">
        <v>200</v>
      </c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</row>
    <row r="37" spans="2:24" s="1" customFormat="1" ht="13.5" customHeight="1">
      <c r="D37" s="19"/>
      <c r="E37" s="19"/>
    </row>
    <row r="38" spans="2:24" s="1" customFormat="1" ht="13.5" customHeight="1">
      <c r="B38" s="1" t="s">
        <v>201</v>
      </c>
      <c r="C38" s="18"/>
      <c r="D38" s="18"/>
      <c r="G38" s="177" t="s">
        <v>202</v>
      </c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</row>
    <row r="39" spans="2:24" s="1" customFormat="1" ht="13.5" customHeight="1">
      <c r="B39" s="19"/>
      <c r="E39" s="19"/>
    </row>
    <row r="40" spans="2:24" s="1" customFormat="1" ht="13.5" customHeight="1">
      <c r="B40" s="18" t="s">
        <v>10</v>
      </c>
      <c r="C40" s="18"/>
      <c r="D40" s="18"/>
      <c r="G40" s="177">
        <v>2400</v>
      </c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</row>
    <row r="41" spans="2:24" s="1" customFormat="1" ht="13.5" customHeight="1">
      <c r="D41" s="19"/>
      <c r="E41" s="19"/>
    </row>
    <row r="42" spans="2:24" s="1" customFormat="1" ht="13.5" customHeight="1">
      <c r="B42" s="18"/>
      <c r="C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s="1" customFormat="1" ht="13.5" customHeight="1">
      <c r="D43" s="19"/>
      <c r="E43" s="19"/>
    </row>
    <row r="44" spans="2:24" s="1" customFormat="1" ht="13.5" customHeight="1">
      <c r="B44" s="18"/>
      <c r="C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s="1" customFormat="1" ht="13.5" customHeight="1">
      <c r="D45" s="19"/>
      <c r="E45" s="19"/>
    </row>
    <row r="46" spans="2:24" s="1" customFormat="1" ht="13.5" customHeight="1">
      <c r="B46" s="18"/>
      <c r="C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s="1" customFormat="1" ht="13.5" customHeight="1">
      <c r="D47" s="19"/>
      <c r="E47" s="19"/>
    </row>
    <row r="48" spans="2:24" s="1" customFormat="1" ht="13.5" customHeight="1">
      <c r="B48" s="18"/>
      <c r="C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s="1" customFormat="1" ht="13.5" customHeight="1">
      <c r="D49" s="19"/>
      <c r="E49" s="19"/>
    </row>
    <row r="50" spans="2:24" s="1" customFormat="1" ht="13.5" customHeight="1">
      <c r="B50" s="18"/>
      <c r="C50" s="18" t="s">
        <v>205</v>
      </c>
      <c r="D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s="1" customFormat="1" ht="13.5" customHeight="1">
      <c r="D51" s="19"/>
      <c r="E51" s="19"/>
    </row>
    <row r="52" spans="2:24" s="1" customFormat="1" ht="13.5" customHeight="1">
      <c r="B52" s="18"/>
      <c r="C52" s="124"/>
      <c r="D52" s="18"/>
      <c r="E52" s="1" t="s">
        <v>206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s="1" customFormat="1" ht="13.5">
      <c r="D53" s="19"/>
      <c r="E53" s="19"/>
    </row>
    <row r="54" spans="2:24" s="1" customFormat="1" ht="13.5"/>
    <row r="55" spans="2:24" s="1" customFormat="1" ht="13.5"/>
    <row r="56" spans="2:24" s="1" customFormat="1" ht="13.5"/>
    <row r="57" spans="2:24" s="1" customFormat="1" ht="13.5"/>
    <row r="58" spans="2:24" s="1" customFormat="1" ht="13.5"/>
    <row r="59" spans="2:24" s="1" customFormat="1" ht="13.5"/>
    <row r="60" spans="2:24" s="1" customFormat="1" ht="13.5"/>
    <row r="61" spans="2:24" s="1" customFormat="1" ht="13.5"/>
    <row r="62" spans="2:24" s="1" customFormat="1" ht="13.5"/>
    <row r="63" spans="2:24" s="1" customFormat="1" ht="13.5"/>
    <row r="64" spans="2:24" s="1" customFormat="1" ht="13.5"/>
    <row r="65" s="1" customFormat="1" ht="13.5"/>
    <row r="66" s="1" customFormat="1" ht="13.5"/>
    <row r="67" s="1" customFormat="1" ht="13.5"/>
    <row r="68" s="1" customFormat="1" ht="13.5"/>
    <row r="69" s="1" customFormat="1" ht="13.5"/>
    <row r="70" s="1" customFormat="1" ht="13.5"/>
    <row r="71" s="1" customFormat="1" ht="13.5"/>
    <row r="72" s="1" customFormat="1" ht="13.5"/>
    <row r="73" s="1" customFormat="1" ht="13.5"/>
    <row r="74" s="1" customFormat="1" ht="13.5"/>
    <row r="75" s="1" customFormat="1" ht="13.5"/>
    <row r="76" s="1" customFormat="1" ht="13.5"/>
    <row r="77" s="1" customFormat="1" ht="13.5"/>
    <row r="78" s="1" customFormat="1" ht="13.5"/>
    <row r="79" s="1" customFormat="1" ht="13.5"/>
    <row r="80" s="1" customFormat="1" ht="13.5"/>
    <row r="81" s="1" customFormat="1" ht="13.5"/>
    <row r="82" s="1" customFormat="1" ht="13.5"/>
    <row r="83" s="1" customFormat="1" ht="13.5"/>
    <row r="84" s="1" customFormat="1" ht="13.5"/>
    <row r="85" s="1" customFormat="1" ht="13.5"/>
    <row r="86" s="1" customFormat="1" ht="13.5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  <row r="157" s="1" customFormat="1" ht="13.5"/>
    <row r="158" s="1" customFormat="1" ht="13.5"/>
    <row r="159" s="1" customFormat="1" ht="13.5"/>
  </sheetData>
  <mergeCells count="10">
    <mergeCell ref="G40:X40"/>
    <mergeCell ref="G30:J30"/>
    <mergeCell ref="G36:X36"/>
    <mergeCell ref="G38:X38"/>
    <mergeCell ref="B8:C8"/>
    <mergeCell ref="B9:C9"/>
    <mergeCell ref="O9:P9"/>
    <mergeCell ref="G28:J28"/>
    <mergeCell ref="N20:R20"/>
    <mergeCell ref="T20:X20"/>
  </mergeCells>
  <phoneticPr fontId="1"/>
  <pageMargins left="0.43307086614173229" right="0.23622047244094491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入力シート</vt:lpstr>
      <vt:lpstr>給排水図</vt:lpstr>
      <vt:lpstr>プレカット_ハイビック</vt:lpstr>
      <vt:lpstr>プレカット_SKY</vt:lpstr>
      <vt:lpstr>太陽光</vt:lpstr>
      <vt:lpstr>地盤調査</vt:lpstr>
      <vt:lpstr>LIXIL</vt:lpstr>
      <vt:lpstr>ルフロ図依頼</vt:lpstr>
      <vt:lpstr>事前依頼</vt:lpstr>
      <vt:lpstr>申請 依頼</vt:lpstr>
      <vt:lpstr>FAX</vt:lpstr>
      <vt:lpstr>FAX (カタログ依頼)</vt:lpstr>
      <vt:lpstr>クリナップ</vt:lpstr>
      <vt:lpstr>プレカット_天竜プレカット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白都卓磨</dc:creator>
  <cp:lastModifiedBy>剛 倉田</cp:lastModifiedBy>
  <cp:lastPrinted>2024-10-22T10:05:44Z</cp:lastPrinted>
  <dcterms:created xsi:type="dcterms:W3CDTF">2021-01-18T02:20:58Z</dcterms:created>
  <dcterms:modified xsi:type="dcterms:W3CDTF">2024-10-22T10:05:49Z</dcterms:modified>
</cp:coreProperties>
</file>