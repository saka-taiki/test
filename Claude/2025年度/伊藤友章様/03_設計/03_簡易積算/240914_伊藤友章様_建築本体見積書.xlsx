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Box\13_新築事業部｜PG HOUSE\10_顧客フォルダ\10_2025年度\○月_白都平澤_住宅新築工事_伊藤友章様\03_設計\03_簡易積算\"/>
    </mc:Choice>
  </mc:AlternateContent>
  <xr:revisionPtr revIDLastSave="0" documentId="13_ncr:1_{A8955965-B436-4617-A65A-6E15333447CA}" xr6:coauthVersionLast="47" xr6:coauthVersionMax="47" xr10:uidLastSave="{00000000-0000-0000-0000-000000000000}"/>
  <bookViews>
    <workbookView xWindow="-108" yWindow="-108" windowWidth="23256" windowHeight="12456" tabRatio="789" firstSheet="1" activeTab="2" xr2:uid="{1C75A737-F4CF-4013-8169-C126BE99A45E}"/>
  </bookViews>
  <sheets>
    <sheet name="見積表 (平屋用) " sheetId="11" state="hidden" r:id="rId1"/>
    <sheet name="見積表 (2F用)" sheetId="10" r:id="rId2"/>
    <sheet name="全オプション" sheetId="1" r:id="rId3"/>
    <sheet name="棚拾い表" sheetId="8" r:id="rId4"/>
    <sheet name="抽出オプション" sheetId="2" state="hidden" r:id="rId5"/>
  </sheets>
  <definedNames>
    <definedName name="_xlnm.Print_Area" localSheetId="1">'見積表 (2F用)'!$A$1:$J$46</definedName>
    <definedName name="_xlnm.Print_Area" localSheetId="0">'見積表 (平屋用) '!$A$1:$J$46</definedName>
    <definedName name="_xlnm.Print_Area" localSheetId="2">全オプション!$A$1:$E$234</definedName>
    <definedName name="_xlnm.Print_Area" localSheetId="3">棚拾い表!$A$1:$U$18</definedName>
    <definedName name="_xlnm.Print_Area" localSheetId="4">抽出オプション!$A$1:$E$41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5" i="1" l="1"/>
  <c r="H166" i="1"/>
  <c r="I16" i="1"/>
  <c r="E7" i="11" l="1"/>
  <c r="C14" i="11" s="1"/>
  <c r="H59" i="1" l="1"/>
  <c r="H58" i="1"/>
  <c r="H131" i="1"/>
  <c r="H130" i="1"/>
  <c r="H129" i="1"/>
  <c r="H3" i="1" l="1"/>
  <c r="H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0" i="1"/>
  <c r="B209" i="1"/>
  <c r="B208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E7" i="10" l="1"/>
  <c r="E8" i="10"/>
  <c r="C16" i="10" l="1"/>
  <c r="H16" i="10" s="1"/>
  <c r="E9" i="10"/>
  <c r="C14" i="10" s="1"/>
  <c r="H14" i="10" s="1"/>
  <c r="H18" i="10" l="1"/>
  <c r="F11" i="1" l="1"/>
  <c r="F10" i="1"/>
  <c r="F9" i="1"/>
  <c r="F8" i="1"/>
  <c r="F7" i="1"/>
  <c r="F6" i="1"/>
  <c r="H211" i="1"/>
  <c r="B211" i="1" s="1"/>
  <c r="H207" i="1"/>
  <c r="B207" i="1" s="1"/>
  <c r="I18" i="1"/>
  <c r="I17" i="1"/>
  <c r="I51" i="1"/>
  <c r="I50" i="1"/>
  <c r="I49" i="1"/>
  <c r="J17" i="8" l="1"/>
  <c r="T17" i="8" l="1"/>
  <c r="T19" i="8" s="1"/>
  <c r="S17" i="8"/>
  <c r="S19" i="8" s="1"/>
  <c r="R17" i="8"/>
  <c r="R19" i="8" s="1"/>
  <c r="Q17" i="8"/>
  <c r="Q19" i="8" s="1"/>
  <c r="P17" i="8"/>
  <c r="P19" i="8" s="1"/>
  <c r="O17" i="8"/>
  <c r="O19" i="8" s="1"/>
  <c r="O20" i="8" s="1"/>
  <c r="O21" i="8" s="1"/>
  <c r="O18" i="8" s="1"/>
  <c r="N17" i="8"/>
  <c r="N19" i="8" s="1"/>
  <c r="N20" i="8" s="1"/>
  <c r="N21" i="8" s="1"/>
  <c r="N18" i="8" s="1"/>
  <c r="M17" i="8"/>
  <c r="M19" i="8" s="1"/>
  <c r="M20" i="8" s="1"/>
  <c r="M21" i="8" s="1"/>
  <c r="M18" i="8" s="1"/>
  <c r="L17" i="8"/>
  <c r="L19" i="8" s="1"/>
  <c r="L20" i="8" s="1"/>
  <c r="L21" i="8" s="1"/>
  <c r="L18" i="8" s="1"/>
  <c r="K17" i="8"/>
  <c r="K19" i="8" s="1"/>
  <c r="J19" i="8"/>
  <c r="J20" i="8" s="1"/>
  <c r="J21" i="8" s="1"/>
  <c r="J18" i="8" s="1"/>
  <c r="I17" i="8"/>
  <c r="I19" i="8" s="1"/>
  <c r="I20" i="8" s="1"/>
  <c r="I21" i="8" s="1"/>
  <c r="I18" i="8" s="1"/>
  <c r="H17" i="8"/>
  <c r="H19" i="8" s="1"/>
  <c r="H20" i="8" s="1"/>
  <c r="H21" i="8" s="1"/>
  <c r="H18" i="8" s="1"/>
  <c r="G17" i="8"/>
  <c r="G19" i="8" s="1"/>
  <c r="F17" i="8"/>
  <c r="F19" i="8" s="1"/>
  <c r="F20" i="8" s="1"/>
  <c r="E17" i="8"/>
  <c r="E19" i="8" s="1"/>
  <c r="E20" i="8" s="1"/>
  <c r="E21" i="8" s="1"/>
  <c r="E18" i="8" s="1"/>
  <c r="D17" i="8"/>
  <c r="D19" i="8" s="1"/>
  <c r="D20" i="8" s="1"/>
  <c r="D21" i="8" s="1"/>
  <c r="D18" i="8" s="1"/>
  <c r="C17" i="8"/>
  <c r="C19" i="8" s="1"/>
  <c r="C20" i="8" s="1"/>
  <c r="B17" i="8"/>
  <c r="B19" i="8" s="1"/>
  <c r="AE15" i="8"/>
  <c r="AD15" i="8"/>
  <c r="AC15" i="8"/>
  <c r="AB15" i="8"/>
  <c r="AE14" i="8"/>
  <c r="AD14" i="8"/>
  <c r="AC14" i="8"/>
  <c r="AB14" i="8"/>
  <c r="AE10" i="8"/>
  <c r="AD10" i="8"/>
  <c r="AC10" i="8"/>
  <c r="AB10" i="8"/>
  <c r="AI9" i="8"/>
  <c r="AH9" i="8"/>
  <c r="AC9" i="8"/>
  <c r="AB9" i="8"/>
  <c r="W9" i="8"/>
  <c r="AC8" i="8"/>
  <c r="AB8" i="8"/>
  <c r="X8" i="8"/>
  <c r="W8" i="8"/>
  <c r="AC7" i="8"/>
  <c r="AB7" i="8"/>
  <c r="Y7" i="8"/>
  <c r="X7" i="8"/>
  <c r="W7" i="8"/>
  <c r="AK6" i="8"/>
  <c r="AJ6" i="8"/>
  <c r="AI6" i="8"/>
  <c r="AH6" i="8"/>
  <c r="AG6" i="8"/>
  <c r="AC6" i="8"/>
  <c r="AB6" i="8"/>
  <c r="X6" i="8"/>
  <c r="W6" i="8"/>
  <c r="AC5" i="8"/>
  <c r="AB5" i="8"/>
  <c r="X5" i="8"/>
  <c r="W5" i="8"/>
  <c r="G20" i="8" l="1"/>
  <c r="G21" i="8" s="1"/>
  <c r="G18" i="8" s="1"/>
  <c r="Q20" i="8"/>
  <c r="Q21" i="8" s="1"/>
  <c r="Q18" i="8" s="1"/>
  <c r="P20" i="8"/>
  <c r="P21" i="8" s="1"/>
  <c r="P18" i="8" s="1"/>
  <c r="T20" i="8"/>
  <c r="T21" i="8" s="1"/>
  <c r="T18" i="8" s="1"/>
  <c r="S20" i="8"/>
  <c r="S21" i="8" s="1"/>
  <c r="S18" i="8" s="1"/>
  <c r="R20" i="8"/>
  <c r="R21" i="8" s="1"/>
  <c r="R18" i="8" s="1"/>
  <c r="F21" i="8"/>
  <c r="F18" i="8" s="1"/>
  <c r="U19" i="8"/>
  <c r="B20" i="8"/>
  <c r="C21" i="8"/>
  <c r="C18" i="8" s="1"/>
  <c r="K20" i="8"/>
  <c r="K21" i="8" s="1"/>
  <c r="K18" i="8" s="1"/>
  <c r="U20" i="8" l="1"/>
  <c r="B21" i="8"/>
  <c r="B18" i="8" l="1"/>
  <c r="U18" i="8" s="1"/>
  <c r="U21" i="8" s="1"/>
  <c r="E28" i="1"/>
  <c r="I10" i="1"/>
  <c r="I9" i="1"/>
  <c r="I6" i="1"/>
  <c r="E24" i="1"/>
  <c r="E20" i="1"/>
  <c r="E13" i="1"/>
  <c r="E16" i="1"/>
  <c r="J16" i="1" s="1"/>
  <c r="E15" i="1"/>
  <c r="B1" i="2"/>
  <c r="C1" i="2"/>
  <c r="D1" i="2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J51" i="1" s="1"/>
  <c r="E50" i="1"/>
  <c r="J50" i="1" s="1"/>
  <c r="E49" i="1"/>
  <c r="J49" i="1" s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7" i="1"/>
  <c r="E26" i="1"/>
  <c r="E25" i="1"/>
  <c r="E23" i="1"/>
  <c r="E22" i="1"/>
  <c r="E21" i="1"/>
  <c r="E19" i="1"/>
  <c r="E18" i="1"/>
  <c r="J18" i="1" s="1"/>
  <c r="E17" i="1"/>
  <c r="J17" i="1" s="1"/>
  <c r="E14" i="1"/>
  <c r="E12" i="1"/>
  <c r="E11" i="1"/>
  <c r="I7" i="1"/>
  <c r="I8" i="1"/>
  <c r="E6" i="1"/>
  <c r="E7" i="1"/>
  <c r="E8" i="1"/>
  <c r="E9" i="1" l="1"/>
  <c r="E10" i="1"/>
  <c r="E3" i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5" i="1"/>
  <c r="J15" i="1" s="1"/>
  <c r="I14" i="1"/>
  <c r="J14" i="1" s="1"/>
  <c r="I13" i="1"/>
  <c r="J13" i="1" s="1"/>
  <c r="I12" i="1"/>
  <c r="J12" i="1" s="1"/>
  <c r="I11" i="1"/>
  <c r="J11" i="1" s="1"/>
  <c r="I3" i="1"/>
  <c r="I5" i="1"/>
  <c r="I4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5" i="1"/>
  <c r="F4" i="1"/>
  <c r="F3" i="1"/>
  <c r="J3" i="1" l="1"/>
  <c r="J7" i="1"/>
  <c r="J8" i="1"/>
  <c r="J9" i="1"/>
  <c r="J10" i="1"/>
  <c r="J6" i="1"/>
  <c r="F102" i="1"/>
  <c r="F34" i="1"/>
  <c r="I201" i="2" s="1"/>
  <c r="E5" i="1"/>
  <c r="J5" i="1" s="1"/>
  <c r="E4" i="1"/>
  <c r="J4" i="1" s="1"/>
  <c r="H38" i="2" l="1"/>
  <c r="H135" i="2"/>
  <c r="J122" i="2"/>
  <c r="I127" i="2"/>
  <c r="I192" i="2"/>
  <c r="J195" i="2"/>
  <c r="H47" i="2"/>
  <c r="E218" i="2"/>
  <c r="H213" i="2"/>
  <c r="J136" i="2"/>
  <c r="H151" i="2"/>
  <c r="E212" i="2"/>
  <c r="I106" i="2"/>
  <c r="I128" i="2"/>
  <c r="I189" i="2"/>
  <c r="J200" i="2"/>
  <c r="C112" i="2"/>
  <c r="H120" i="2"/>
  <c r="H143" i="2"/>
  <c r="I197" i="2"/>
  <c r="H25" i="2"/>
  <c r="I135" i="2"/>
  <c r="H139" i="2"/>
  <c r="I188" i="2"/>
  <c r="I66" i="2"/>
  <c r="J205" i="2"/>
  <c r="I32" i="2"/>
  <c r="H61" i="2"/>
  <c r="B124" i="2"/>
  <c r="H119" i="2"/>
  <c r="J49" i="2"/>
  <c r="I155" i="2"/>
  <c r="I205" i="2"/>
  <c r="H74" i="2"/>
  <c r="I16" i="2"/>
  <c r="I71" i="2"/>
  <c r="F159" i="2"/>
  <c r="H132" i="2"/>
  <c r="J64" i="2"/>
  <c r="I40" i="2"/>
  <c r="I72" i="2"/>
  <c r="H98" i="2"/>
  <c r="J23" i="2"/>
  <c r="H79" i="2"/>
  <c r="I74" i="2"/>
  <c r="F219" i="2"/>
  <c r="H3" i="2"/>
  <c r="I146" i="2"/>
  <c r="H78" i="2"/>
  <c r="I53" i="2"/>
  <c r="H58" i="2"/>
  <c r="J105" i="2"/>
  <c r="H31" i="2"/>
  <c r="I110" i="2"/>
  <c r="J127" i="2"/>
  <c r="A229" i="2"/>
  <c r="J3" i="2"/>
  <c r="J162" i="2"/>
  <c r="H92" i="2"/>
  <c r="H83" i="2"/>
  <c r="J72" i="2"/>
  <c r="I113" i="2"/>
  <c r="H109" i="2"/>
  <c r="I118" i="2"/>
  <c r="I134" i="2"/>
  <c r="B115" i="2"/>
  <c r="H177" i="2"/>
  <c r="J179" i="2"/>
  <c r="J40" i="2"/>
  <c r="I87" i="2"/>
  <c r="J20" i="2"/>
  <c r="H190" i="2"/>
  <c r="H126" i="2"/>
  <c r="I214" i="2"/>
  <c r="C13" i="2"/>
  <c r="H219" i="2"/>
  <c r="I193" i="2"/>
  <c r="J196" i="2"/>
  <c r="H97" i="2"/>
  <c r="I100" i="2"/>
  <c r="H75" i="2"/>
  <c r="I198" i="2"/>
  <c r="J10" i="2"/>
  <c r="H221" i="2"/>
  <c r="C17" i="2"/>
  <c r="J130" i="2"/>
  <c r="J210" i="2"/>
  <c r="H65" i="2"/>
  <c r="I185" i="2"/>
  <c r="J143" i="2"/>
  <c r="J82" i="2"/>
  <c r="J206" i="2"/>
  <c r="H18" i="2"/>
  <c r="J227" i="2"/>
  <c r="F227" i="2"/>
  <c r="J45" i="2"/>
  <c r="J33" i="2"/>
  <c r="J79" i="2"/>
  <c r="H204" i="2"/>
  <c r="I173" i="2"/>
  <c r="H106" i="2"/>
  <c r="H232" i="2"/>
  <c r="I25" i="2"/>
  <c r="I61" i="2"/>
  <c r="A88" i="2"/>
  <c r="J218" i="2"/>
  <c r="J48" i="2"/>
  <c r="I151" i="2"/>
  <c r="H27" i="2"/>
  <c r="H189" i="2"/>
  <c r="J113" i="2"/>
  <c r="J46" i="2"/>
  <c r="H217" i="2"/>
  <c r="H68" i="2"/>
  <c r="C91" i="2"/>
  <c r="I123" i="2"/>
  <c r="I7" i="2"/>
  <c r="I165" i="2"/>
  <c r="J41" i="2"/>
  <c r="H73" i="2"/>
  <c r="J178" i="2"/>
  <c r="J93" i="2"/>
  <c r="I225" i="2"/>
  <c r="J94" i="2"/>
  <c r="E94" i="2"/>
  <c r="H123" i="2"/>
  <c r="J21" i="2"/>
  <c r="H180" i="2"/>
  <c r="J83" i="2"/>
  <c r="H176" i="2"/>
  <c r="J186" i="2"/>
  <c r="I232" i="2"/>
  <c r="J233" i="2"/>
  <c r="J168" i="2"/>
  <c r="I6" i="2"/>
  <c r="H89" i="2"/>
  <c r="H169" i="2"/>
  <c r="H19" i="2"/>
  <c r="H202" i="2"/>
  <c r="H138" i="2"/>
  <c r="J65" i="2"/>
  <c r="I138" i="2"/>
  <c r="J59" i="2"/>
  <c r="H67" i="2"/>
  <c r="I152" i="2"/>
  <c r="I5" i="2"/>
  <c r="I73" i="2"/>
  <c r="H160" i="2"/>
  <c r="J11" i="2"/>
  <c r="I221" i="2"/>
  <c r="H88" i="2"/>
  <c r="J187" i="2"/>
  <c r="I54" i="2"/>
  <c r="I147" i="2"/>
  <c r="H111" i="2"/>
  <c r="J158" i="2"/>
  <c r="H233" i="2"/>
  <c r="I63" i="2"/>
  <c r="H10" i="2"/>
  <c r="H110" i="2"/>
  <c r="J182" i="2"/>
  <c r="H165" i="2"/>
  <c r="H9" i="2"/>
  <c r="H116" i="2"/>
  <c r="H229" i="2"/>
  <c r="J66" i="2"/>
  <c r="H137" i="2"/>
  <c r="H203" i="2"/>
  <c r="J42" i="2"/>
  <c r="H230" i="2"/>
  <c r="I143" i="2"/>
  <c r="H85" i="2"/>
  <c r="H29" i="2"/>
  <c r="J170" i="2"/>
  <c r="I68" i="2"/>
  <c r="J181" i="2"/>
  <c r="H107" i="2"/>
  <c r="I36" i="2"/>
  <c r="H179" i="2"/>
  <c r="J104" i="2"/>
  <c r="I33" i="2"/>
  <c r="I182" i="2"/>
  <c r="I3" i="2"/>
  <c r="E91" i="2"/>
  <c r="A106" i="2"/>
  <c r="J214" i="2"/>
  <c r="I81" i="2"/>
  <c r="H181" i="2"/>
  <c r="J47" i="2"/>
  <c r="I233" i="2"/>
  <c r="I104" i="2"/>
  <c r="I150" i="2"/>
  <c r="H225" i="2"/>
  <c r="J55" i="2"/>
  <c r="I149" i="2"/>
  <c r="H94" i="2"/>
  <c r="J173" i="2"/>
  <c r="J156" i="2"/>
  <c r="I231" i="2"/>
  <c r="I108" i="2"/>
  <c r="H220" i="2"/>
  <c r="H59" i="2"/>
  <c r="I129" i="2"/>
  <c r="H195" i="2"/>
  <c r="I35" i="2"/>
  <c r="I209" i="2"/>
  <c r="J128" i="2"/>
  <c r="H72" i="2"/>
  <c r="H15" i="2"/>
  <c r="J126" i="2"/>
  <c r="J184" i="2"/>
  <c r="H167" i="2"/>
  <c r="J92" i="2"/>
  <c r="I22" i="2"/>
  <c r="I163" i="2"/>
  <c r="J90" i="2"/>
  <c r="I19" i="2"/>
  <c r="J25" i="2"/>
  <c r="D87" i="2"/>
  <c r="D100" i="2"/>
  <c r="H208" i="2"/>
  <c r="J74" i="2"/>
  <c r="I174" i="2"/>
  <c r="H41" i="2"/>
  <c r="H231" i="2"/>
  <c r="J97" i="2"/>
  <c r="I142" i="2"/>
  <c r="J216" i="2"/>
  <c r="J39" i="2"/>
  <c r="J109" i="2"/>
  <c r="I86" i="2"/>
  <c r="J165" i="2"/>
  <c r="J148" i="2"/>
  <c r="H12" i="2"/>
  <c r="J88" i="2"/>
  <c r="J194" i="2"/>
  <c r="I41" i="2"/>
  <c r="H121" i="2"/>
  <c r="H194" i="2"/>
  <c r="J137" i="2"/>
  <c r="J166" i="2"/>
  <c r="I183" i="2"/>
  <c r="H32" i="2"/>
  <c r="H188" i="2"/>
  <c r="J34" i="2"/>
  <c r="I114" i="2"/>
  <c r="I187" i="2"/>
  <c r="H131" i="2"/>
  <c r="H134" i="2"/>
  <c r="I175" i="2"/>
  <c r="J140" i="2"/>
  <c r="H183" i="2"/>
  <c r="H224" i="2"/>
  <c r="H182" i="2"/>
  <c r="H215" i="2"/>
  <c r="J76" i="2"/>
  <c r="I170" i="2"/>
  <c r="J228" i="2"/>
  <c r="J50" i="2"/>
  <c r="I97" i="2"/>
  <c r="I59" i="2"/>
  <c r="J188" i="2"/>
  <c r="I99" i="2"/>
  <c r="J204" i="2"/>
  <c r="J26" i="2"/>
  <c r="H185" i="2"/>
  <c r="J51" i="2"/>
  <c r="J164" i="2"/>
  <c r="H64" i="2"/>
  <c r="I177" i="2"/>
  <c r="J75" i="2"/>
  <c r="H24" i="2"/>
  <c r="E109" i="2"/>
  <c r="E177" i="2"/>
  <c r="I181" i="2"/>
  <c r="H28" i="2"/>
  <c r="J107" i="2"/>
  <c r="J180" i="2"/>
  <c r="I124" i="2"/>
  <c r="I126" i="2"/>
  <c r="I166" i="2"/>
  <c r="I125" i="2"/>
  <c r="H175" i="2"/>
  <c r="H216" i="2"/>
  <c r="H173" i="2"/>
  <c r="H198" i="2"/>
  <c r="H69" i="2"/>
  <c r="I162" i="2"/>
  <c r="J219" i="2"/>
  <c r="H43" i="2"/>
  <c r="J89" i="2"/>
  <c r="J44" i="2"/>
  <c r="J172" i="2"/>
  <c r="H57" i="2"/>
  <c r="J185" i="2"/>
  <c r="J13" i="2"/>
  <c r="J68" i="2"/>
  <c r="H37" i="2"/>
  <c r="J150" i="2"/>
  <c r="I49" i="2"/>
  <c r="H163" i="2"/>
  <c r="I60" i="2"/>
  <c r="I103" i="2"/>
  <c r="A105" i="2"/>
  <c r="F170" i="2"/>
  <c r="H22" i="2"/>
  <c r="I210" i="2"/>
  <c r="B136" i="2"/>
  <c r="A6" i="2"/>
  <c r="I161" i="2"/>
  <c r="H103" i="2"/>
  <c r="J149" i="2"/>
  <c r="J124" i="2"/>
  <c r="I45" i="2"/>
  <c r="I195" i="2"/>
  <c r="H66" i="2"/>
  <c r="J99" i="2"/>
  <c r="I140" i="2"/>
  <c r="J202" i="2"/>
  <c r="J106" i="2"/>
  <c r="I119" i="2"/>
  <c r="A130" i="2"/>
  <c r="J18" i="2"/>
  <c r="H81" i="2"/>
  <c r="J77" i="2"/>
  <c r="J62" i="2"/>
  <c r="H133" i="2"/>
  <c r="J37" i="2"/>
  <c r="H86" i="2"/>
  <c r="H193" i="2"/>
  <c r="I234" i="2"/>
  <c r="J133" i="2"/>
  <c r="J116" i="2"/>
  <c r="J129" i="2"/>
  <c r="J174" i="2"/>
  <c r="I21" i="2"/>
  <c r="H101" i="2"/>
  <c r="H174" i="2"/>
  <c r="J117" i="2"/>
  <c r="J118" i="2"/>
  <c r="I158" i="2"/>
  <c r="I117" i="2"/>
  <c r="H166" i="2"/>
  <c r="H207" i="2"/>
  <c r="H140" i="2"/>
  <c r="J189" i="2"/>
  <c r="J60" i="2"/>
  <c r="I153" i="2"/>
  <c r="J211" i="2"/>
  <c r="J35" i="2"/>
  <c r="H82" i="2"/>
  <c r="J30" i="2"/>
  <c r="H159" i="2"/>
  <c r="I42" i="2"/>
  <c r="I171" i="2"/>
  <c r="I222" i="2"/>
  <c r="I169" i="2"/>
  <c r="I23" i="2"/>
  <c r="J135" i="2"/>
  <c r="H35" i="2"/>
  <c r="J146" i="2"/>
  <c r="I46" i="2"/>
  <c r="I31" i="2"/>
  <c r="D99" i="2"/>
  <c r="F155" i="2"/>
  <c r="H168" i="2"/>
  <c r="J14" i="2"/>
  <c r="I94" i="2"/>
  <c r="I167" i="2"/>
  <c r="H91" i="2"/>
  <c r="J110" i="2"/>
  <c r="H150" i="2"/>
  <c r="H102" i="2"/>
  <c r="H158" i="2"/>
  <c r="H199" i="2"/>
  <c r="I132" i="2"/>
  <c r="J230" i="2"/>
  <c r="H53" i="2"/>
  <c r="I145" i="2"/>
  <c r="I203" i="2"/>
  <c r="I28" i="2"/>
  <c r="J73" i="2"/>
  <c r="I18" i="2"/>
  <c r="H115" i="2"/>
  <c r="I29" i="2"/>
  <c r="J155" i="2"/>
  <c r="H125" i="2"/>
  <c r="I83" i="2"/>
  <c r="I11" i="2"/>
  <c r="I120" i="2"/>
  <c r="J132" i="2"/>
  <c r="J192" i="2"/>
  <c r="H8" i="2"/>
  <c r="J87" i="2"/>
  <c r="J160" i="2"/>
  <c r="I84" i="2"/>
  <c r="H142" i="2"/>
  <c r="J190" i="2"/>
  <c r="J222" i="2"/>
  <c r="I137" i="2"/>
  <c r="I20" i="2"/>
  <c r="H5" i="2"/>
  <c r="I15" i="2"/>
  <c r="J111" i="2"/>
  <c r="H218" i="2"/>
  <c r="J8" i="2"/>
  <c r="H33" i="2"/>
  <c r="C226" i="2"/>
  <c r="J154" i="2"/>
  <c r="H154" i="2"/>
  <c r="I95" i="2"/>
  <c r="J141" i="2"/>
  <c r="J213" i="2"/>
  <c r="I186" i="2"/>
  <c r="J145" i="2"/>
  <c r="H128" i="2"/>
  <c r="J207" i="2"/>
  <c r="I34" i="2"/>
  <c r="I204" i="2"/>
  <c r="H51" i="2"/>
  <c r="J63" i="2"/>
  <c r="J102" i="2"/>
  <c r="I47" i="2"/>
  <c r="J70" i="2"/>
  <c r="J223" i="2"/>
  <c r="I85" i="2"/>
  <c r="I180" i="2"/>
  <c r="I8" i="2"/>
  <c r="I98" i="2"/>
  <c r="H153" i="2"/>
  <c r="H186" i="2"/>
  <c r="I230" i="2"/>
  <c r="H130" i="2"/>
  <c r="J29" i="2"/>
  <c r="J171" i="2"/>
  <c r="I69" i="2"/>
  <c r="I202" i="2"/>
  <c r="I111" i="2"/>
  <c r="H136" i="2"/>
  <c r="I9" i="2"/>
  <c r="J119" i="2"/>
  <c r="J19" i="2"/>
  <c r="H117" i="2"/>
  <c r="H210" i="2"/>
  <c r="C179" i="2"/>
  <c r="B133" i="2"/>
  <c r="I168" i="2"/>
  <c r="I121" i="2"/>
  <c r="H201" i="2"/>
  <c r="J27" i="2"/>
  <c r="J197" i="2"/>
  <c r="I44" i="2"/>
  <c r="H56" i="2"/>
  <c r="H95" i="2"/>
  <c r="I102" i="2"/>
  <c r="H63" i="2"/>
  <c r="J215" i="2"/>
  <c r="I77" i="2"/>
  <c r="I172" i="2"/>
  <c r="J229" i="2"/>
  <c r="I90" i="2"/>
  <c r="H145" i="2"/>
  <c r="H178" i="2"/>
  <c r="J209" i="2"/>
  <c r="I115" i="2"/>
  <c r="H16" i="2"/>
  <c r="I156" i="2"/>
  <c r="I56" i="2"/>
  <c r="H124" i="2"/>
  <c r="J38" i="2"/>
  <c r="I122" i="2"/>
  <c r="I213" i="2"/>
  <c r="H105" i="2"/>
  <c r="H7" i="2"/>
  <c r="J103" i="2"/>
  <c r="H45" i="2"/>
  <c r="C221" i="2"/>
  <c r="C173" i="2"/>
  <c r="H96" i="2"/>
  <c r="J108" i="2"/>
  <c r="I194" i="2"/>
  <c r="J217" i="2"/>
  <c r="J175" i="2"/>
  <c r="J17" i="2"/>
  <c r="I39" i="2"/>
  <c r="J100" i="2"/>
  <c r="H100" i="2"/>
  <c r="I51" i="2"/>
  <c r="I228" i="2"/>
  <c r="I130" i="2"/>
  <c r="I57" i="2"/>
  <c r="H70" i="2"/>
  <c r="J12" i="2"/>
  <c r="I93" i="2"/>
  <c r="I196" i="2"/>
  <c r="I212" i="2"/>
  <c r="H60" i="2"/>
  <c r="C125" i="2"/>
  <c r="I37" i="2"/>
  <c r="J167" i="2"/>
  <c r="H211" i="2"/>
  <c r="H87" i="2"/>
  <c r="I10" i="2"/>
  <c r="J24" i="2"/>
  <c r="H93" i="2"/>
  <c r="I92" i="2"/>
  <c r="I43" i="2"/>
  <c r="I219" i="2"/>
  <c r="J115" i="2"/>
  <c r="J43" i="2"/>
  <c r="J56" i="2"/>
  <c r="J81" i="2"/>
  <c r="H80" i="2"/>
  <c r="I179" i="2"/>
  <c r="J193" i="2"/>
  <c r="I52" i="2"/>
  <c r="A163" i="2"/>
  <c r="I116" i="2"/>
  <c r="H161" i="2"/>
  <c r="H191" i="2"/>
  <c r="I79" i="2"/>
  <c r="I133" i="2"/>
  <c r="I17" i="2"/>
  <c r="J69" i="2"/>
  <c r="J84" i="2"/>
  <c r="H36" i="2"/>
  <c r="I211" i="2"/>
  <c r="J101" i="2"/>
  <c r="I4" i="2"/>
  <c r="H42" i="2"/>
  <c r="J52" i="2"/>
  <c r="I65" i="2"/>
  <c r="J163" i="2"/>
  <c r="H76" i="2"/>
  <c r="J138" i="2"/>
  <c r="E25" i="2"/>
  <c r="J234" i="2"/>
  <c r="I154" i="2"/>
  <c r="I184" i="2"/>
  <c r="J71" i="2"/>
  <c r="H39" i="2"/>
  <c r="I157" i="2"/>
  <c r="H62" i="2"/>
  <c r="I30" i="2"/>
  <c r="J28" i="2"/>
  <c r="J169" i="2"/>
  <c r="I88" i="2"/>
  <c r="J226" i="2"/>
  <c r="H226" i="2"/>
  <c r="I12" i="2"/>
  <c r="H197" i="2"/>
  <c r="H149" i="2"/>
  <c r="J61" i="2"/>
  <c r="H152" i="2"/>
  <c r="C8" i="2"/>
  <c r="H228" i="2"/>
  <c r="J147" i="2"/>
  <c r="J177" i="2"/>
  <c r="I48" i="2"/>
  <c r="H17" i="2"/>
  <c r="I70" i="2"/>
  <c r="J53" i="2"/>
  <c r="H23" i="2"/>
  <c r="J54" i="2"/>
  <c r="H171" i="2"/>
  <c r="J208" i="2"/>
  <c r="J125" i="2"/>
  <c r="H46" i="2"/>
  <c r="H212" i="2"/>
  <c r="H90" i="2"/>
  <c r="J159" i="2"/>
  <c r="H172" i="2"/>
  <c r="H14" i="2"/>
  <c r="H48" i="2"/>
  <c r="I164" i="2"/>
  <c r="J199" i="2"/>
  <c r="H118" i="2"/>
  <c r="I38" i="2"/>
  <c r="J203" i="2"/>
  <c r="I82" i="2"/>
  <c r="H144" i="2"/>
  <c r="H157" i="2"/>
  <c r="J225" i="2"/>
  <c r="H141" i="2"/>
  <c r="H71" i="2"/>
  <c r="J86" i="2"/>
  <c r="I24" i="2"/>
  <c r="H223" i="2"/>
  <c r="H122" i="2"/>
  <c r="H13" i="2"/>
  <c r="I159" i="2"/>
  <c r="H4" i="2"/>
  <c r="H54" i="2"/>
  <c r="I107" i="2"/>
  <c r="H148" i="2"/>
  <c r="H21" i="2"/>
  <c r="H209" i="2"/>
  <c r="I78" i="2"/>
  <c r="J198" i="2"/>
  <c r="H147" i="2"/>
  <c r="I13" i="2"/>
  <c r="J120" i="2"/>
  <c r="H44" i="2"/>
  <c r="J112" i="2"/>
  <c r="I96" i="2"/>
  <c r="H50" i="2"/>
  <c r="I91" i="2"/>
  <c r="H146" i="2"/>
  <c r="B71" i="2"/>
  <c r="I141" i="2"/>
  <c r="I14" i="2"/>
  <c r="H200" i="2"/>
  <c r="H55" i="2"/>
  <c r="I190" i="2"/>
  <c r="I139" i="2"/>
  <c r="H6" i="2"/>
  <c r="H113" i="2"/>
  <c r="H30" i="2"/>
  <c r="H99" i="2"/>
  <c r="H26" i="2"/>
  <c r="J36" i="2"/>
  <c r="I76" i="2"/>
  <c r="I131" i="2"/>
  <c r="A54" i="2"/>
  <c r="J134" i="2"/>
  <c r="H234" i="2"/>
  <c r="H192" i="2"/>
  <c r="J31" i="2"/>
  <c r="J231" i="2"/>
  <c r="J131" i="2"/>
  <c r="I178" i="2"/>
  <c r="I105" i="2"/>
  <c r="J16" i="2"/>
  <c r="H84" i="2"/>
  <c r="J139" i="2"/>
  <c r="J22" i="2"/>
  <c r="I62" i="2"/>
  <c r="I75" i="2"/>
  <c r="C37" i="2"/>
  <c r="J114" i="2"/>
  <c r="I227" i="2"/>
  <c r="J183" i="2"/>
  <c r="J232" i="2"/>
  <c r="I223" i="2"/>
  <c r="J123" i="2"/>
  <c r="H170" i="2"/>
  <c r="I58" i="2"/>
  <c r="H227" i="2"/>
  <c r="H127" i="2"/>
  <c r="H155" i="2"/>
  <c r="H11" i="2"/>
  <c r="H49" i="2"/>
  <c r="I67" i="2"/>
  <c r="B101" i="2"/>
  <c r="H108" i="2"/>
  <c r="J220" i="2"/>
  <c r="H40" i="2"/>
  <c r="J224" i="2"/>
  <c r="I215" i="2"/>
  <c r="J15" i="2"/>
  <c r="H162" i="2"/>
  <c r="I50" i="2"/>
  <c r="H206" i="2"/>
  <c r="I112" i="2"/>
  <c r="H112" i="2"/>
  <c r="I217" i="2"/>
  <c r="H34" i="2"/>
  <c r="J153" i="2"/>
  <c r="F93" i="2"/>
  <c r="I101" i="2"/>
  <c r="H214" i="2"/>
  <c r="J32" i="2"/>
  <c r="I216" i="2"/>
  <c r="I206" i="2"/>
  <c r="J221" i="2"/>
  <c r="J121" i="2"/>
  <c r="I27" i="2"/>
  <c r="J85" i="2"/>
  <c r="J98" i="2"/>
  <c r="J201" i="2"/>
  <c r="I148" i="2"/>
  <c r="I136" i="2"/>
  <c r="J142" i="2"/>
  <c r="H20" i="2"/>
  <c r="I220" i="2"/>
  <c r="I55" i="2"/>
  <c r="I64" i="2"/>
  <c r="H52" i="2"/>
  <c r="I109" i="2"/>
  <c r="H196" i="2"/>
  <c r="J151" i="2"/>
  <c r="H187" i="2"/>
  <c r="H129" i="2"/>
  <c r="I229" i="2"/>
  <c r="J78" i="2"/>
  <c r="I144" i="2"/>
  <c r="I176" i="2"/>
  <c r="J57" i="2"/>
  <c r="J80" i="2"/>
  <c r="H205" i="2"/>
  <c r="I191" i="2"/>
  <c r="E27" i="2"/>
  <c r="I80" i="2"/>
  <c r="H77" i="2"/>
  <c r="I218" i="2"/>
  <c r="I226" i="2"/>
  <c r="J144" i="2"/>
  <c r="H156" i="2"/>
  <c r="I199" i="2"/>
  <c r="J157" i="2"/>
  <c r="F73" i="2"/>
  <c r="I160" i="2"/>
  <c r="J91" i="2"/>
  <c r="H222" i="2"/>
  <c r="H114" i="2"/>
  <c r="J152" i="2"/>
  <c r="H164" i="2"/>
  <c r="I208" i="2"/>
  <c r="I224" i="2"/>
  <c r="H184" i="2"/>
  <c r="I200" i="2"/>
  <c r="J212" i="2"/>
  <c r="J95" i="2"/>
  <c r="J176" i="2"/>
  <c r="I26" i="2"/>
  <c r="J161" i="2"/>
  <c r="J191" i="2"/>
  <c r="I89" i="2"/>
  <c r="J96" i="2"/>
  <c r="J58" i="2"/>
  <c r="I207" i="2"/>
  <c r="E117" i="2"/>
  <c r="H104" i="2"/>
  <c r="J67" i="2"/>
  <c r="J4" i="2"/>
  <c r="D201" i="2"/>
  <c r="J7" i="2"/>
  <c r="J9" i="2"/>
  <c r="J5" i="2"/>
  <c r="J6" i="2"/>
  <c r="C169" i="2"/>
  <c r="E224" i="2"/>
  <c r="E42" i="2"/>
  <c r="E168" i="2"/>
  <c r="D205" i="2"/>
  <c r="E191" i="2"/>
  <c r="F161" i="2"/>
  <c r="C153" i="2"/>
  <c r="B78" i="2"/>
  <c r="C149" i="2"/>
  <c r="E131" i="2"/>
  <c r="A161" i="2"/>
  <c r="D186" i="2"/>
  <c r="A142" i="2"/>
  <c r="B34" i="2"/>
  <c r="F193" i="2"/>
  <c r="E138" i="2"/>
  <c r="E156" i="2"/>
  <c r="F132" i="2"/>
  <c r="E142" i="2"/>
  <c r="D92" i="2"/>
  <c r="B125" i="2"/>
  <c r="D167" i="2"/>
  <c r="B146" i="2"/>
  <c r="C228" i="2"/>
  <c r="B132" i="2"/>
  <c r="C73" i="2"/>
  <c r="F63" i="2"/>
  <c r="E216" i="2"/>
  <c r="F119" i="2"/>
  <c r="A228" i="2"/>
  <c r="C59" i="2"/>
  <c r="E172" i="2"/>
  <c r="C142" i="2"/>
  <c r="E125" i="2"/>
  <c r="C62" i="2"/>
  <c r="D160" i="2"/>
  <c r="F99" i="2"/>
  <c r="C156" i="2"/>
  <c r="D84" i="2"/>
  <c r="F103" i="2"/>
  <c r="C117" i="2"/>
  <c r="F120" i="2"/>
  <c r="E107" i="2"/>
  <c r="F80" i="2"/>
  <c r="B119" i="2"/>
  <c r="A210" i="2"/>
  <c r="E170" i="2"/>
  <c r="C67" i="2"/>
  <c r="C213" i="2"/>
  <c r="B4" i="2"/>
  <c r="B7" i="2"/>
  <c r="E95" i="2"/>
  <c r="F78" i="2"/>
  <c r="E67" i="2"/>
  <c r="B110" i="2"/>
  <c r="B21" i="2"/>
  <c r="C162" i="2"/>
  <c r="D179" i="2"/>
  <c r="C34" i="2"/>
  <c r="E145" i="2"/>
  <c r="F74" i="2"/>
  <c r="C77" i="2"/>
  <c r="E176" i="2"/>
  <c r="F178" i="2"/>
  <c r="D81" i="2"/>
  <c r="A81" i="2"/>
  <c r="D12" i="2"/>
  <c r="F71" i="2"/>
  <c r="B215" i="2"/>
  <c r="D113" i="2"/>
  <c r="E128" i="2"/>
  <c r="A157" i="2"/>
  <c r="B113" i="2"/>
  <c r="E152" i="2"/>
  <c r="E215" i="2"/>
  <c r="F116" i="2"/>
  <c r="D134" i="2"/>
  <c r="B141" i="2"/>
  <c r="E161" i="2"/>
  <c r="A34" i="2"/>
  <c r="C46" i="2"/>
  <c r="D128" i="2"/>
  <c r="B121" i="2"/>
  <c r="C205" i="2"/>
  <c r="B149" i="2"/>
  <c r="A129" i="2"/>
  <c r="A112" i="2"/>
  <c r="B213" i="2"/>
  <c r="D117" i="2"/>
  <c r="F105" i="2"/>
  <c r="D82" i="2"/>
  <c r="B25" i="2"/>
  <c r="D172" i="2"/>
  <c r="A113" i="2"/>
  <c r="C89" i="2"/>
  <c r="C19" i="2"/>
  <c r="D145" i="2"/>
  <c r="C230" i="2"/>
  <c r="E132" i="2"/>
  <c r="E78" i="2"/>
  <c r="B62" i="2"/>
  <c r="E230" i="2"/>
  <c r="C120" i="2"/>
  <c r="E89" i="2"/>
  <c r="E157" i="2"/>
  <c r="F115" i="2"/>
  <c r="B134" i="2"/>
  <c r="F59" i="2"/>
  <c r="D206" i="2"/>
  <c r="E83" i="2"/>
  <c r="D9" i="2"/>
  <c r="B164" i="2"/>
  <c r="A96" i="2"/>
  <c r="E206" i="2"/>
  <c r="F106" i="2"/>
  <c r="F167" i="2"/>
  <c r="E84" i="2"/>
  <c r="A218" i="2"/>
  <c r="D71" i="2"/>
  <c r="F234" i="2"/>
  <c r="C196" i="2"/>
  <c r="B196" i="2"/>
  <c r="F50" i="2"/>
  <c r="D62" i="2"/>
  <c r="F148" i="2"/>
  <c r="A12" i="2"/>
  <c r="C219" i="2"/>
  <c r="D162" i="2"/>
  <c r="D177" i="2"/>
  <c r="E18" i="2"/>
  <c r="F183" i="2"/>
  <c r="E129" i="2"/>
  <c r="D112" i="2"/>
  <c r="A94" i="2"/>
  <c r="D208" i="2"/>
  <c r="C138" i="2"/>
  <c r="E119" i="2"/>
  <c r="D19" i="2"/>
  <c r="C187" i="2"/>
  <c r="C217" i="2"/>
  <c r="D166" i="2"/>
  <c r="F139" i="2"/>
  <c r="D85" i="2"/>
  <c r="C174" i="2"/>
  <c r="D146" i="2"/>
  <c r="C115" i="2"/>
  <c r="A197" i="2"/>
  <c r="C148" i="2"/>
  <c r="A180" i="2"/>
  <c r="E75" i="2"/>
  <c r="B233" i="2"/>
  <c r="F122" i="2"/>
  <c r="C25" i="2"/>
  <c r="F180" i="2"/>
  <c r="F111" i="2"/>
  <c r="A220" i="2"/>
  <c r="B120" i="2"/>
  <c r="D144" i="2"/>
  <c r="A98" i="2"/>
  <c r="C231" i="2"/>
  <c r="D111" i="2"/>
  <c r="F17" i="2"/>
  <c r="E90" i="2"/>
  <c r="B10" i="2"/>
  <c r="C194" i="2"/>
  <c r="E220" i="2"/>
  <c r="A29" i="2"/>
  <c r="C214" i="2"/>
  <c r="D230" i="2"/>
  <c r="F200" i="2"/>
  <c r="D138" i="2"/>
  <c r="C3" i="2"/>
  <c r="A209" i="2"/>
  <c r="B15" i="2"/>
  <c r="D187" i="2"/>
  <c r="E166" i="2"/>
  <c r="B102" i="2"/>
  <c r="C6" i="2"/>
  <c r="F191" i="2"/>
  <c r="C136" i="2"/>
  <c r="B16" i="2"/>
  <c r="A165" i="2"/>
  <c r="B202" i="2"/>
  <c r="F110" i="2"/>
  <c r="F118" i="2"/>
  <c r="A143" i="2"/>
  <c r="C64" i="2"/>
  <c r="D229" i="2"/>
  <c r="B156" i="2"/>
  <c r="D23" i="2"/>
  <c r="F156" i="2"/>
  <c r="D234" i="2"/>
  <c r="E134" i="2"/>
  <c r="F207" i="2"/>
  <c r="D131" i="2"/>
  <c r="C192" i="2"/>
  <c r="A212" i="2"/>
  <c r="B74" i="2"/>
  <c r="D232" i="2"/>
  <c r="B128" i="2"/>
  <c r="A36" i="2"/>
  <c r="E208" i="2"/>
  <c r="C145" i="2"/>
  <c r="F8" i="2"/>
  <c r="E223" i="2"/>
  <c r="A27" i="2"/>
  <c r="C195" i="2"/>
  <c r="F173" i="2"/>
  <c r="A140" i="2"/>
  <c r="F15" i="2"/>
  <c r="C209" i="2"/>
  <c r="F141" i="2"/>
  <c r="F21" i="2"/>
  <c r="F169" i="2"/>
  <c r="C206" i="2"/>
  <c r="E122" i="2"/>
  <c r="C5" i="2"/>
  <c r="B147" i="2"/>
  <c r="B76" i="2"/>
  <c r="E9" i="2"/>
  <c r="F168" i="2"/>
  <c r="D33" i="2"/>
  <c r="F166" i="2"/>
  <c r="C11" i="2"/>
  <c r="E144" i="2"/>
  <c r="B221" i="2"/>
  <c r="F134" i="2"/>
  <c r="C124" i="2"/>
  <c r="D139" i="2"/>
  <c r="B6" i="2"/>
  <c r="E153" i="2"/>
  <c r="E147" i="2"/>
  <c r="B183" i="2"/>
  <c r="B86" i="2"/>
  <c r="C47" i="2"/>
  <c r="A217" i="2"/>
  <c r="C152" i="2"/>
  <c r="E26" i="2"/>
  <c r="F231" i="2"/>
  <c r="C32" i="2"/>
  <c r="E3" i="2"/>
  <c r="F181" i="2"/>
  <c r="F153" i="2"/>
  <c r="A26" i="2"/>
  <c r="B227" i="2"/>
  <c r="C147" i="2"/>
  <c r="C26" i="2"/>
  <c r="C175" i="2"/>
  <c r="F210" i="2"/>
  <c r="D130" i="2"/>
  <c r="B9" i="2"/>
  <c r="E151" i="2"/>
  <c r="A80" i="2"/>
  <c r="E13" i="2"/>
  <c r="F172" i="2"/>
  <c r="F36" i="2"/>
  <c r="B170" i="2"/>
  <c r="E14" i="2"/>
  <c r="A148" i="2"/>
  <c r="D224" i="2"/>
  <c r="B138" i="2"/>
  <c r="A162" i="2"/>
  <c r="D67" i="2"/>
  <c r="C39" i="2"/>
  <c r="D97" i="2"/>
  <c r="A63" i="2"/>
  <c r="A79" i="2"/>
  <c r="C75" i="2"/>
  <c r="A35" i="2"/>
  <c r="B47" i="2"/>
  <c r="D228" i="2"/>
  <c r="C53" i="2"/>
  <c r="D7" i="2"/>
  <c r="A214" i="2"/>
  <c r="C157" i="2"/>
  <c r="B54" i="2"/>
  <c r="C14" i="2"/>
  <c r="F230" i="2"/>
  <c r="B159" i="2"/>
  <c r="B32" i="2"/>
  <c r="B129" i="2"/>
  <c r="D38" i="2"/>
  <c r="C15" i="2"/>
  <c r="E187" i="2"/>
  <c r="F160" i="2"/>
  <c r="E30" i="2"/>
  <c r="B11" i="2"/>
  <c r="A153" i="2"/>
  <c r="A31" i="2"/>
  <c r="E180" i="2"/>
  <c r="D215" i="2"/>
  <c r="C134" i="2"/>
  <c r="A13" i="2"/>
  <c r="E155" i="2"/>
  <c r="A84" i="2"/>
  <c r="D17" i="2"/>
  <c r="A177" i="2"/>
  <c r="B40" i="2"/>
  <c r="D173" i="2"/>
  <c r="A18" i="2"/>
  <c r="C151" i="2"/>
  <c r="B231" i="2"/>
  <c r="D141" i="2"/>
  <c r="E148" i="2"/>
  <c r="E183" i="2"/>
  <c r="A179" i="2"/>
  <c r="E173" i="2"/>
  <c r="B209" i="2"/>
  <c r="E130" i="2"/>
  <c r="D143" i="2"/>
  <c r="F127" i="2"/>
  <c r="B23" i="2"/>
  <c r="A144" i="2"/>
  <c r="A89" i="2"/>
  <c r="F130" i="2"/>
  <c r="D79" i="2"/>
  <c r="B150" i="2"/>
  <c r="C86" i="2"/>
  <c r="B12" i="2"/>
  <c r="C137" i="2"/>
  <c r="C10" i="2"/>
  <c r="B144" i="2"/>
  <c r="A219" i="2"/>
  <c r="D220" i="2"/>
  <c r="D37" i="2"/>
  <c r="D175" i="2"/>
  <c r="D18" i="2"/>
  <c r="E19" i="2"/>
  <c r="E43" i="2"/>
  <c r="A16" i="2"/>
  <c r="F142" i="2"/>
  <c r="A181" i="2"/>
  <c r="C21" i="2"/>
  <c r="F90" i="2"/>
  <c r="E46" i="2"/>
  <c r="E7" i="2"/>
  <c r="C43" i="2"/>
  <c r="A174" i="2"/>
  <c r="D227" i="2"/>
  <c r="A92" i="2"/>
  <c r="B8" i="2"/>
  <c r="D188" i="2"/>
  <c r="B64" i="2"/>
  <c r="B214" i="2"/>
  <c r="D49" i="2"/>
  <c r="C188" i="2"/>
  <c r="F102" i="2"/>
  <c r="C52" i="2"/>
  <c r="C29" i="2"/>
  <c r="C161" i="2"/>
  <c r="D45" i="2"/>
  <c r="C189" i="2"/>
  <c r="D76" i="2"/>
  <c r="A59" i="2"/>
  <c r="B19" i="2"/>
  <c r="F229" i="2"/>
  <c r="A95" i="2"/>
  <c r="B72" i="2"/>
  <c r="F19" i="2"/>
  <c r="E231" i="2"/>
  <c r="E61" i="2"/>
  <c r="F88" i="2"/>
  <c r="F61" i="2"/>
  <c r="F43" i="2"/>
  <c r="E217" i="2"/>
  <c r="E195" i="2"/>
  <c r="C79" i="2"/>
  <c r="E35" i="2"/>
  <c r="D209" i="2"/>
  <c r="D55" i="2"/>
  <c r="E106" i="2"/>
  <c r="A233" i="2"/>
  <c r="D155" i="2"/>
  <c r="B56" i="2"/>
  <c r="C198" i="2"/>
  <c r="E99" i="2"/>
  <c r="B33" i="2"/>
  <c r="B194" i="2"/>
  <c r="D53" i="2"/>
  <c r="F186" i="2"/>
  <c r="C31" i="2"/>
  <c r="E164" i="2"/>
  <c r="F14" i="2"/>
  <c r="F184" i="2"/>
  <c r="F108" i="2"/>
  <c r="B116" i="2"/>
  <c r="F211" i="2"/>
  <c r="D28" i="2"/>
  <c r="C116" i="2"/>
  <c r="A226" i="2"/>
  <c r="E116" i="2"/>
  <c r="C63" i="2"/>
  <c r="A82" i="2"/>
  <c r="E162" i="2"/>
  <c r="E87" i="2"/>
  <c r="F70" i="2"/>
  <c r="C24" i="2"/>
  <c r="E23" i="2"/>
  <c r="F100" i="2"/>
  <c r="E77" i="2"/>
  <c r="D26" i="2"/>
  <c r="A7" i="2"/>
  <c r="E66" i="2"/>
  <c r="D124" i="2"/>
  <c r="A67" i="2"/>
  <c r="F49" i="2"/>
  <c r="B22" i="2"/>
  <c r="E202" i="2"/>
  <c r="D89" i="2"/>
  <c r="E40" i="2"/>
  <c r="C215" i="2"/>
  <c r="F60" i="2"/>
  <c r="D114" i="2"/>
  <c r="D24" i="2"/>
  <c r="D159" i="2"/>
  <c r="A64" i="2"/>
  <c r="A207" i="2"/>
  <c r="B127" i="2"/>
  <c r="E60" i="2"/>
  <c r="D225" i="2"/>
  <c r="F76" i="2"/>
  <c r="B210" i="2"/>
  <c r="E54" i="2"/>
  <c r="A188" i="2"/>
  <c r="F44" i="2"/>
  <c r="C4" i="2"/>
  <c r="E73" i="2"/>
  <c r="B57" i="2"/>
  <c r="B88" i="2"/>
  <c r="A41" i="2"/>
  <c r="C176" i="2"/>
  <c r="B5" i="2"/>
  <c r="A215" i="2"/>
  <c r="A231" i="2"/>
  <c r="A73" i="2"/>
  <c r="E82" i="2"/>
  <c r="A125" i="2"/>
  <c r="C30" i="2"/>
  <c r="B199" i="2"/>
  <c r="E121" i="2"/>
  <c r="B69" i="2"/>
  <c r="B18" i="2"/>
  <c r="A168" i="2"/>
  <c r="D123" i="2"/>
  <c r="B37" i="2"/>
  <c r="E17" i="2"/>
  <c r="B109" i="2"/>
  <c r="B203" i="2"/>
  <c r="D21" i="2"/>
  <c r="E226" i="2"/>
  <c r="D107" i="2"/>
  <c r="A17" i="2"/>
  <c r="E146" i="2"/>
  <c r="E169" i="2"/>
  <c r="E108" i="2"/>
  <c r="F42" i="2"/>
  <c r="B166" i="2"/>
  <c r="F131" i="2"/>
  <c r="A124" i="2"/>
  <c r="D69" i="2"/>
  <c r="A134" i="2"/>
  <c r="A109" i="2"/>
  <c r="F84" i="2"/>
  <c r="B151" i="2"/>
  <c r="C223" i="2"/>
  <c r="E103" i="2"/>
  <c r="A159" i="2"/>
  <c r="D193" i="2"/>
  <c r="D95" i="2"/>
  <c r="D80" i="2"/>
  <c r="C50" i="2"/>
  <c r="D90" i="2"/>
  <c r="C78" i="2"/>
  <c r="F25" i="2"/>
  <c r="F53" i="2"/>
  <c r="B111" i="2"/>
  <c r="D46" i="2"/>
  <c r="A97" i="2"/>
  <c r="C167" i="2"/>
  <c r="D151" i="2"/>
  <c r="B190" i="2"/>
  <c r="E115" i="2"/>
  <c r="C172" i="2"/>
  <c r="D148" i="2"/>
  <c r="F133" i="2"/>
  <c r="B182" i="2"/>
  <c r="C204" i="2"/>
  <c r="C171" i="2"/>
  <c r="D119" i="2"/>
  <c r="B29" i="2"/>
  <c r="B176" i="2"/>
  <c r="C186" i="2"/>
  <c r="D65" i="2"/>
  <c r="A224" i="2"/>
  <c r="E29" i="2"/>
  <c r="B145" i="2"/>
  <c r="D178" i="2"/>
  <c r="C7" i="2"/>
  <c r="A170" i="2"/>
  <c r="E97" i="2"/>
  <c r="B218" i="2"/>
  <c r="E34" i="2"/>
  <c r="F198" i="2"/>
  <c r="D221" i="2"/>
  <c r="F154" i="2"/>
  <c r="F137" i="2"/>
  <c r="E104" i="2"/>
  <c r="A38" i="2"/>
  <c r="F157" i="2"/>
  <c r="F126" i="2"/>
  <c r="B60" i="2"/>
  <c r="A203" i="2"/>
  <c r="D189" i="2"/>
  <c r="B91" i="2"/>
  <c r="B163" i="2"/>
  <c r="F201" i="2"/>
  <c r="B43" i="2"/>
  <c r="A150" i="2"/>
  <c r="F123" i="2"/>
  <c r="A141" i="2"/>
  <c r="F62" i="2"/>
  <c r="E234" i="2"/>
  <c r="C101" i="2"/>
  <c r="F56" i="2"/>
  <c r="C185" i="2"/>
  <c r="B198" i="2"/>
  <c r="F194" i="2"/>
  <c r="B188" i="2"/>
  <c r="D121" i="2"/>
  <c r="F54" i="2"/>
  <c r="D214" i="2"/>
  <c r="E204" i="2"/>
  <c r="A138" i="2"/>
  <c r="C71" i="2"/>
  <c r="E4" i="2"/>
  <c r="F226" i="2"/>
  <c r="B160" i="2"/>
  <c r="D93" i="2"/>
  <c r="F26" i="2"/>
  <c r="C193" i="2"/>
  <c r="C160" i="2"/>
  <c r="C80" i="2"/>
  <c r="B234" i="2"/>
  <c r="D147" i="2"/>
  <c r="D68" i="2"/>
  <c r="C220" i="2"/>
  <c r="D204" i="2"/>
  <c r="A198" i="2"/>
  <c r="C131" i="2"/>
  <c r="E64" i="2"/>
  <c r="B211" i="2"/>
  <c r="B220" i="2"/>
  <c r="D153" i="2"/>
  <c r="F86" i="2"/>
  <c r="B20" i="2"/>
  <c r="E186" i="2"/>
  <c r="B152" i="2"/>
  <c r="D72" i="2"/>
  <c r="C225" i="2"/>
  <c r="C139" i="2"/>
  <c r="D60" i="2"/>
  <c r="E211" i="2"/>
  <c r="E126" i="2"/>
  <c r="D48" i="2"/>
  <c r="A211" i="2"/>
  <c r="D126" i="2"/>
  <c r="C36" i="2"/>
  <c r="B184" i="2"/>
  <c r="A234" i="2"/>
  <c r="E120" i="2"/>
  <c r="F7" i="2"/>
  <c r="A126" i="2"/>
  <c r="E31" i="2"/>
  <c r="F208" i="2"/>
  <c r="F77" i="2"/>
  <c r="A187" i="2"/>
  <c r="A61" i="2"/>
  <c r="F165" i="2"/>
  <c r="C208" i="2"/>
  <c r="D222" i="2"/>
  <c r="E88" i="2"/>
  <c r="D192" i="2"/>
  <c r="B65" i="2"/>
  <c r="B165" i="2"/>
  <c r="B42" i="2"/>
  <c r="D170" i="2"/>
  <c r="F162" i="2"/>
  <c r="F23" i="2"/>
  <c r="C104" i="2"/>
  <c r="F212" i="2"/>
  <c r="B81" i="2"/>
  <c r="F182" i="2"/>
  <c r="E182" i="2"/>
  <c r="E22" i="2"/>
  <c r="E10" i="2"/>
  <c r="F218" i="2"/>
  <c r="C140" i="2"/>
  <c r="D102" i="2"/>
  <c r="E39" i="2"/>
  <c r="A196" i="2"/>
  <c r="D171" i="2"/>
  <c r="F104" i="2"/>
  <c r="B38" i="2"/>
  <c r="C28" i="2"/>
  <c r="B137" i="2"/>
  <c r="E48" i="2"/>
  <c r="F185" i="2"/>
  <c r="F188" i="2"/>
  <c r="B118" i="2"/>
  <c r="D168" i="2"/>
  <c r="B177" i="2"/>
  <c r="F129" i="2"/>
  <c r="E201" i="2"/>
  <c r="C158" i="2"/>
  <c r="C87" i="2"/>
  <c r="F16" i="2"/>
  <c r="C128" i="2"/>
  <c r="E225" i="2"/>
  <c r="A184" i="2"/>
  <c r="F121" i="2"/>
  <c r="C23" i="2"/>
  <c r="F199" i="2"/>
  <c r="C22" i="2"/>
  <c r="F39" i="2"/>
  <c r="B207" i="2"/>
  <c r="E62" i="2"/>
  <c r="C102" i="2"/>
  <c r="F58" i="2"/>
  <c r="E71" i="2"/>
  <c r="B31" i="2"/>
  <c r="D35" i="2"/>
  <c r="E219" i="2"/>
  <c r="F87" i="2"/>
  <c r="F176" i="2"/>
  <c r="E133" i="2"/>
  <c r="E127" i="2"/>
  <c r="A65" i="2"/>
  <c r="C54" i="2"/>
  <c r="E49" i="2"/>
  <c r="B26" i="2"/>
  <c r="A147" i="2"/>
  <c r="D185" i="2"/>
  <c r="B180" i="2"/>
  <c r="F10" i="2"/>
  <c r="C154" i="2"/>
  <c r="E76" i="2"/>
  <c r="C66" i="2"/>
  <c r="F32" i="2"/>
  <c r="E50" i="2"/>
  <c r="A28" i="2"/>
  <c r="A47" i="2"/>
  <c r="C133" i="2"/>
  <c r="F29" i="2"/>
  <c r="F125" i="2"/>
  <c r="F145" i="2"/>
  <c r="B153" i="2"/>
  <c r="F48" i="2"/>
  <c r="F187" i="2"/>
  <c r="D16" i="2"/>
  <c r="B206" i="2"/>
  <c r="C132" i="2"/>
  <c r="E96" i="2"/>
  <c r="A193" i="2"/>
  <c r="F197" i="2"/>
  <c r="A74" i="2"/>
  <c r="A206" i="2"/>
  <c r="A169" i="2"/>
  <c r="E190" i="2"/>
  <c r="B14" i="2"/>
  <c r="B167" i="2"/>
  <c r="D29" i="2"/>
  <c r="C150" i="2"/>
  <c r="B17" i="2"/>
  <c r="E41" i="2"/>
  <c r="C222" i="2"/>
  <c r="A201" i="2"/>
  <c r="D195" i="2"/>
  <c r="B41" i="2"/>
  <c r="E159" i="2"/>
  <c r="E154" i="2"/>
  <c r="A91" i="2"/>
  <c r="E92" i="2"/>
  <c r="A19" i="2"/>
  <c r="E8" i="2"/>
  <c r="A202" i="2"/>
  <c r="A46" i="2"/>
  <c r="F163" i="2"/>
  <c r="B148" i="2"/>
  <c r="E175" i="2"/>
  <c r="A76" i="2"/>
  <c r="F82" i="2"/>
  <c r="A66" i="2"/>
  <c r="F30" i="2"/>
  <c r="D183" i="2"/>
  <c r="C58" i="2"/>
  <c r="B39" i="2"/>
  <c r="D226" i="2"/>
  <c r="E112" i="2"/>
  <c r="B195" i="2"/>
  <c r="F152" i="2"/>
  <c r="C83" i="2"/>
  <c r="C121" i="2"/>
  <c r="E85" i="2"/>
  <c r="A191" i="2"/>
  <c r="F192" i="2"/>
  <c r="C9" i="2"/>
  <c r="E6" i="2"/>
  <c r="A135" i="2"/>
  <c r="B201" i="2"/>
  <c r="C16" i="2"/>
  <c r="A42" i="2"/>
  <c r="C103" i="2"/>
  <c r="D34" i="2"/>
  <c r="E221" i="2"/>
  <c r="A104" i="2"/>
  <c r="A57" i="2"/>
  <c r="E228" i="2"/>
  <c r="C45" i="2"/>
  <c r="D86" i="2"/>
  <c r="B13" i="2"/>
  <c r="B3" i="2"/>
  <c r="A22" i="2"/>
  <c r="D158" i="2"/>
  <c r="D36" i="2"/>
  <c r="D43" i="2"/>
  <c r="F4" i="2"/>
  <c r="A154" i="2"/>
  <c r="A53" i="2"/>
  <c r="D77" i="2"/>
  <c r="F47" i="2"/>
  <c r="A40" i="2"/>
  <c r="B224" i="2"/>
  <c r="D25" i="2"/>
  <c r="A158" i="2"/>
  <c r="D22" i="2"/>
  <c r="D52" i="2"/>
  <c r="F13" i="2"/>
  <c r="B223" i="2"/>
  <c r="C210" i="2"/>
  <c r="C197" i="2"/>
  <c r="A151" i="2"/>
  <c r="F95" i="2"/>
  <c r="B50" i="2"/>
  <c r="B178" i="2"/>
  <c r="A116" i="2"/>
  <c r="B46" i="2"/>
  <c r="A93" i="2"/>
  <c r="F33" i="2"/>
  <c r="F68" i="2"/>
  <c r="A23" i="2"/>
  <c r="C122" i="2"/>
  <c r="B87" i="2"/>
  <c r="C93" i="2"/>
  <c r="D30" i="2"/>
  <c r="A83" i="2"/>
  <c r="F72" i="2"/>
  <c r="F101" i="2"/>
  <c r="C33" i="2"/>
  <c r="B94" i="2"/>
  <c r="A222" i="2"/>
  <c r="E118" i="2"/>
  <c r="E163" i="2"/>
  <c r="F215" i="2"/>
  <c r="E68" i="2"/>
  <c r="D83" i="2"/>
  <c r="C61" i="2"/>
  <c r="D51" i="2"/>
  <c r="A155" i="2"/>
  <c r="F22" i="2"/>
  <c r="D116" i="2"/>
  <c r="F128" i="2"/>
  <c r="B93" i="2"/>
  <c r="F98" i="2"/>
  <c r="E36" i="2"/>
  <c r="F112" i="2"/>
  <c r="F37" i="2"/>
  <c r="C113" i="2"/>
  <c r="E113" i="2"/>
  <c r="F38" i="2"/>
  <c r="A99" i="2"/>
  <c r="C227" i="2"/>
  <c r="D122" i="2"/>
  <c r="E167" i="2"/>
  <c r="B229" i="2"/>
  <c r="C76" i="2"/>
  <c r="B90" i="2"/>
  <c r="C201" i="2"/>
  <c r="D61" i="2"/>
  <c r="D212" i="2"/>
  <c r="B79" i="2"/>
  <c r="D218" i="2"/>
  <c r="C190" i="2"/>
  <c r="B135" i="2"/>
  <c r="A117" i="2"/>
  <c r="E98" i="2"/>
  <c r="F190" i="2"/>
  <c r="E105" i="2"/>
  <c r="D88" i="2"/>
  <c r="D42" i="2"/>
  <c r="D142" i="2"/>
  <c r="D118" i="2"/>
  <c r="A101" i="2"/>
  <c r="E72" i="2"/>
  <c r="C105" i="2"/>
  <c r="D132" i="2"/>
  <c r="E178" i="2"/>
  <c r="A120" i="2"/>
  <c r="B67" i="2"/>
  <c r="A44" i="2"/>
  <c r="B225" i="2"/>
  <c r="D104" i="2"/>
  <c r="C55" i="2"/>
  <c r="A136" i="2"/>
  <c r="B75" i="2"/>
  <c r="C126" i="2"/>
  <c r="C48" i="2"/>
  <c r="B172" i="2"/>
  <c r="F75" i="2"/>
  <c r="F233" i="2"/>
  <c r="A156" i="2"/>
  <c r="C88" i="2"/>
  <c r="A200" i="2"/>
  <c r="B100" i="2"/>
  <c r="D233" i="2"/>
  <c r="A78" i="2"/>
  <c r="C211" i="2"/>
  <c r="F64" i="2"/>
  <c r="D211" i="2"/>
  <c r="A39" i="2"/>
  <c r="C170" i="2"/>
  <c r="D216" i="2"/>
  <c r="F3" i="2"/>
  <c r="D125" i="2"/>
  <c r="C40" i="2"/>
  <c r="D184" i="2"/>
  <c r="F27" i="2"/>
  <c r="C35" i="2"/>
  <c r="F222" i="2"/>
  <c r="E181" i="2"/>
  <c r="E158" i="2"/>
  <c r="D56" i="2"/>
  <c r="A128" i="2"/>
  <c r="A86" i="2"/>
  <c r="F213" i="2"/>
  <c r="F85" i="2"/>
  <c r="E213" i="2"/>
  <c r="A3" i="2"/>
  <c r="A205" i="2"/>
  <c r="A221" i="2"/>
  <c r="D8" i="2"/>
  <c r="A122" i="2"/>
  <c r="B53" i="2"/>
  <c r="D165" i="2"/>
  <c r="C38" i="2"/>
  <c r="A167" i="2"/>
  <c r="A216" i="2"/>
  <c r="E21" i="2"/>
  <c r="F144" i="2"/>
  <c r="F91" i="2"/>
  <c r="E58" i="2"/>
  <c r="E171" i="2"/>
  <c r="B217" i="2"/>
  <c r="B27" i="2"/>
  <c r="A164" i="2"/>
  <c r="C44" i="2"/>
  <c r="F46" i="2"/>
  <c r="E24" i="2"/>
  <c r="D140" i="2"/>
  <c r="F97" i="2"/>
  <c r="B24" i="2"/>
  <c r="D14" i="2"/>
  <c r="E55" i="2"/>
  <c r="E45" i="2"/>
  <c r="F228" i="2"/>
  <c r="C168" i="2"/>
  <c r="E189" i="2"/>
  <c r="D11" i="2"/>
  <c r="E57" i="2"/>
  <c r="D5" i="2"/>
  <c r="B104" i="2"/>
  <c r="B82" i="2"/>
  <c r="C212" i="2"/>
  <c r="F51" i="2"/>
  <c r="B226" i="2"/>
  <c r="C98" i="2"/>
  <c r="C177" i="2"/>
  <c r="A77" i="2"/>
  <c r="C106" i="2"/>
  <c r="A32" i="2"/>
  <c r="D58" i="2"/>
  <c r="D137" i="2"/>
  <c r="F55" i="2"/>
  <c r="D210" i="2"/>
  <c r="F45" i="2"/>
  <c r="E65" i="2"/>
  <c r="D32" i="2"/>
  <c r="F67" i="2"/>
  <c r="C135" i="2"/>
  <c r="C234" i="2"/>
  <c r="F216" i="2"/>
  <c r="E194" i="2"/>
  <c r="F204" i="2"/>
  <c r="A69" i="2"/>
  <c r="C74" i="2"/>
  <c r="A176" i="2"/>
  <c r="D110" i="2"/>
  <c r="C183" i="2"/>
  <c r="C82" i="2"/>
  <c r="E69" i="2"/>
  <c r="B95" i="2"/>
  <c r="F81" i="2"/>
  <c r="D157" i="2"/>
  <c r="A62" i="2"/>
  <c r="C218" i="2"/>
  <c r="D50" i="2"/>
  <c r="C70" i="2"/>
  <c r="B44" i="2"/>
  <c r="A72" i="2"/>
  <c r="C143" i="2"/>
  <c r="A190" i="2"/>
  <c r="D223" i="2"/>
  <c r="A68" i="2"/>
  <c r="B208" i="2"/>
  <c r="E102" i="2"/>
  <c r="C92" i="2"/>
  <c r="D57" i="2"/>
  <c r="D10" i="2"/>
  <c r="F175" i="2"/>
  <c r="F195" i="2"/>
  <c r="D27" i="2"/>
  <c r="D196" i="2"/>
  <c r="B142" i="2"/>
  <c r="A123" i="2"/>
  <c r="D105" i="2"/>
  <c r="C199" i="2"/>
  <c r="B112" i="2"/>
  <c r="C100" i="2"/>
  <c r="E47" i="2"/>
  <c r="A14" i="2"/>
  <c r="F158" i="2"/>
  <c r="D106" i="2"/>
  <c r="B83" i="2"/>
  <c r="D149" i="2"/>
  <c r="B139" i="2"/>
  <c r="D200" i="2"/>
  <c r="B126" i="2"/>
  <c r="B73" i="2"/>
  <c r="A50" i="2"/>
  <c r="C232" i="2"/>
  <c r="C114" i="2"/>
  <c r="C60" i="2"/>
  <c r="C146" i="2"/>
  <c r="B105" i="2"/>
  <c r="C130" i="2"/>
  <c r="A56" i="2"/>
  <c r="E197" i="2"/>
  <c r="E79" i="2"/>
  <c r="E5" i="2"/>
  <c r="A160" i="2"/>
  <c r="B92" i="2"/>
  <c r="C203" i="2"/>
  <c r="D103" i="2"/>
  <c r="E233" i="2"/>
  <c r="C81" i="2"/>
  <c r="E214" i="2"/>
  <c r="B68" i="2"/>
  <c r="F214" i="2"/>
  <c r="D152" i="2"/>
  <c r="C108" i="2"/>
  <c r="F9" i="2"/>
  <c r="A127" i="2"/>
  <c r="C27" i="2"/>
  <c r="A146" i="2"/>
  <c r="E232" i="2"/>
  <c r="A85" i="2"/>
  <c r="F203" i="2"/>
  <c r="C94" i="2"/>
  <c r="A204" i="2"/>
  <c r="E11" i="2"/>
  <c r="F109" i="2"/>
  <c r="B222" i="2"/>
  <c r="A172" i="2"/>
  <c r="E28" i="2"/>
  <c r="A115" i="2"/>
  <c r="C202" i="2"/>
  <c r="D40" i="2"/>
  <c r="A119" i="2"/>
  <c r="D202" i="2"/>
  <c r="E52" i="2"/>
  <c r="A131" i="2"/>
  <c r="B216" i="2"/>
  <c r="D64" i="2"/>
  <c r="E143" i="2"/>
  <c r="E229" i="2"/>
  <c r="D13" i="2"/>
  <c r="B80" i="2"/>
  <c r="F146" i="2"/>
  <c r="D213" i="2"/>
  <c r="D194" i="2"/>
  <c r="A58" i="2"/>
  <c r="E124" i="2"/>
  <c r="C191" i="2"/>
  <c r="B191" i="2"/>
  <c r="D41" i="2"/>
  <c r="B108" i="2"/>
  <c r="F174" i="2"/>
  <c r="B48" i="2"/>
  <c r="F114" i="2"/>
  <c r="D181" i="2"/>
  <c r="C57" i="2"/>
  <c r="B174" i="2"/>
  <c r="F11" i="2"/>
  <c r="E140" i="2"/>
  <c r="E51" i="2"/>
  <c r="E15" i="2"/>
  <c r="F140" i="2"/>
  <c r="E33" i="2"/>
  <c r="B219" i="2"/>
  <c r="C110" i="2"/>
  <c r="C18" i="2"/>
  <c r="E135" i="2"/>
  <c r="D70" i="2"/>
  <c r="D199" i="2"/>
  <c r="F205" i="2"/>
  <c r="E70" i="2"/>
  <c r="E199" i="2"/>
  <c r="E93" i="2"/>
  <c r="C229" i="2"/>
  <c r="F117" i="2"/>
  <c r="D98" i="2"/>
  <c r="B66" i="2"/>
  <c r="E200" i="2"/>
  <c r="B89" i="2"/>
  <c r="A223" i="2"/>
  <c r="C107" i="2"/>
  <c r="F41" i="2"/>
  <c r="A20" i="2"/>
  <c r="C166" i="2"/>
  <c r="B106" i="2"/>
  <c r="C20" i="2"/>
  <c r="E139" i="2"/>
  <c r="E38" i="2"/>
  <c r="E160" i="2"/>
  <c r="C56" i="2"/>
  <c r="A182" i="2"/>
  <c r="E203" i="2"/>
  <c r="D109" i="2"/>
  <c r="A21" i="2"/>
  <c r="D120" i="2"/>
  <c r="F232" i="2"/>
  <c r="F35" i="2"/>
  <c r="D136" i="2"/>
  <c r="E110" i="2"/>
  <c r="D197" i="2"/>
  <c r="B52" i="2"/>
  <c r="F138" i="2"/>
  <c r="C224" i="2"/>
  <c r="A60" i="2"/>
  <c r="A139" i="2"/>
  <c r="A225" i="2"/>
  <c r="C72" i="2"/>
  <c r="A152" i="2"/>
  <c r="F5" i="2"/>
  <c r="B84" i="2"/>
  <c r="C164" i="2"/>
  <c r="E196" i="2"/>
  <c r="B30" i="2"/>
  <c r="F96" i="2"/>
  <c r="D163" i="2"/>
  <c r="B230" i="2"/>
  <c r="A8" i="2"/>
  <c r="E74" i="2"/>
  <c r="C141" i="2"/>
  <c r="A208" i="2"/>
  <c r="F217" i="2"/>
  <c r="B58" i="2"/>
  <c r="F124" i="2"/>
  <c r="D191" i="2"/>
  <c r="B122" i="2"/>
  <c r="D44" i="2"/>
  <c r="D182" i="2"/>
  <c r="A149" i="2"/>
  <c r="A52" i="2"/>
  <c r="D176" i="2"/>
  <c r="D75" i="2"/>
  <c r="E205" i="2"/>
  <c r="C129" i="2"/>
  <c r="B117" i="2"/>
  <c r="E12" i="2"/>
  <c r="D129" i="2"/>
  <c r="B36" i="2"/>
  <c r="B157" i="2"/>
  <c r="B59" i="2"/>
  <c r="B185" i="2"/>
  <c r="C144" i="2"/>
  <c r="A132" i="2"/>
  <c r="F31" i="2"/>
  <c r="F151" i="2"/>
  <c r="C49" i="2"/>
  <c r="B173" i="2"/>
  <c r="E100" i="2"/>
  <c r="F83" i="2"/>
  <c r="C12" i="2"/>
  <c r="D59" i="2"/>
  <c r="D78" i="2"/>
  <c r="F209" i="2"/>
  <c r="D96" i="2"/>
  <c r="B232" i="2"/>
  <c r="A114" i="2"/>
  <c r="D20" i="2"/>
  <c r="B55" i="2"/>
  <c r="D169" i="2"/>
  <c r="A70" i="2"/>
  <c r="B175" i="2"/>
  <c r="A227" i="2"/>
  <c r="C85" i="2"/>
  <c r="B192" i="2"/>
  <c r="F150" i="2"/>
  <c r="A9" i="2"/>
  <c r="C95" i="2"/>
  <c r="C180" i="2"/>
  <c r="F20" i="2"/>
  <c r="C99" i="2"/>
  <c r="D180" i="2"/>
  <c r="A33" i="2"/>
  <c r="E111" i="2"/>
  <c r="A194" i="2"/>
  <c r="B45" i="2"/>
  <c r="C123" i="2"/>
  <c r="D207" i="2"/>
  <c r="A230" i="2"/>
  <c r="D63" i="2"/>
  <c r="B130" i="2"/>
  <c r="F196" i="2"/>
  <c r="D164" i="2"/>
  <c r="C41" i="2"/>
  <c r="A108" i="2"/>
  <c r="E174" i="2"/>
  <c r="F147" i="2"/>
  <c r="F24" i="2"/>
  <c r="D91" i="2"/>
  <c r="B158" i="2"/>
  <c r="F224" i="2"/>
  <c r="B154" i="2"/>
  <c r="D4" i="2"/>
  <c r="F57" i="2"/>
  <c r="E81" i="2"/>
  <c r="E136" i="2"/>
  <c r="F18" i="2"/>
  <c r="C42" i="2"/>
  <c r="F65" i="2"/>
  <c r="E165" i="2"/>
  <c r="E37" i="2"/>
  <c r="B179" i="2"/>
  <c r="B96" i="2"/>
  <c r="A15" i="2"/>
  <c r="D217" i="2"/>
  <c r="A4" i="2"/>
  <c r="D74" i="2"/>
  <c r="A175" i="2"/>
  <c r="F179" i="2"/>
  <c r="F89" i="2"/>
  <c r="C155" i="2"/>
  <c r="B99" i="2"/>
  <c r="C184" i="2"/>
  <c r="B103" i="2"/>
  <c r="A37" i="2"/>
  <c r="E198" i="2"/>
  <c r="C127" i="2"/>
  <c r="C233" i="2"/>
  <c r="D133" i="2"/>
  <c r="D174" i="2"/>
  <c r="C111" i="2"/>
  <c r="D161" i="2"/>
  <c r="D39" i="2"/>
  <c r="A110" i="2"/>
  <c r="E188" i="2"/>
  <c r="B162" i="2"/>
  <c r="D190" i="2"/>
  <c r="D219" i="2"/>
  <c r="A24" i="2"/>
  <c r="D47" i="2"/>
  <c r="A71" i="2"/>
  <c r="F171" i="2"/>
  <c r="A43" i="2"/>
  <c r="B187" i="2"/>
  <c r="E101" i="2"/>
  <c r="A55" i="2"/>
  <c r="C90" i="2"/>
  <c r="D108" i="2"/>
  <c r="A10" i="2"/>
  <c r="D127" i="2"/>
  <c r="E141" i="2"/>
  <c r="C65" i="2"/>
  <c r="E179" i="2"/>
  <c r="F79" i="2"/>
  <c r="B186" i="2"/>
  <c r="F221" i="2"/>
  <c r="B204" i="2"/>
  <c r="C159" i="2"/>
  <c r="E16" i="2"/>
  <c r="A103" i="2"/>
  <c r="A189" i="2"/>
  <c r="F28" i="2"/>
  <c r="B107" i="2"/>
  <c r="B189" i="2"/>
  <c r="F40" i="2"/>
  <c r="C119" i="2"/>
  <c r="F202" i="2"/>
  <c r="F52" i="2"/>
  <c r="B131" i="2"/>
  <c r="C216" i="2"/>
  <c r="D3" i="2"/>
  <c r="B70" i="2"/>
  <c r="F136" i="2"/>
  <c r="D203" i="2"/>
  <c r="F177" i="2"/>
  <c r="A48" i="2"/>
  <c r="E114" i="2"/>
  <c r="C181" i="2"/>
  <c r="B161" i="2"/>
  <c r="D31" i="2"/>
  <c r="B98" i="2"/>
  <c r="F164" i="2"/>
  <c r="D231" i="2"/>
  <c r="B114" i="2"/>
  <c r="B155" i="2"/>
  <c r="A183" i="2"/>
  <c r="A213" i="2"/>
  <c r="E123" i="2"/>
  <c r="A137" i="2"/>
  <c r="C165" i="2"/>
  <c r="E192" i="2"/>
  <c r="E137" i="2"/>
  <c r="D54" i="2"/>
  <c r="C118" i="2"/>
  <c r="B35" i="2"/>
  <c r="C84" i="2"/>
  <c r="A102" i="2"/>
  <c r="A121" i="2"/>
  <c r="E59" i="2"/>
  <c r="A75" i="2"/>
  <c r="A11" i="2"/>
  <c r="D198" i="2"/>
  <c r="F12" i="2"/>
  <c r="A25" i="2"/>
  <c r="A185" i="2"/>
  <c r="D115" i="2"/>
  <c r="A49" i="2"/>
  <c r="B212" i="2"/>
  <c r="F66" i="2"/>
  <c r="B200" i="2"/>
  <c r="E44" i="2"/>
  <c r="A178" i="2"/>
  <c r="D154" i="2"/>
  <c r="B28" i="2"/>
  <c r="F94" i="2"/>
  <c r="B228" i="2"/>
  <c r="F189" i="2"/>
  <c r="C182" i="2"/>
  <c r="A51" i="2"/>
  <c r="E210" i="2"/>
  <c r="B51" i="2"/>
  <c r="B63" i="2"/>
  <c r="E86" i="2"/>
  <c r="B143" i="2"/>
  <c r="F135" i="2"/>
  <c r="F143" i="2"/>
  <c r="A171" i="2"/>
  <c r="C200" i="2"/>
  <c r="A145" i="2"/>
  <c r="A166" i="2"/>
  <c r="B61" i="2"/>
  <c r="D150" i="2"/>
  <c r="E63" i="2"/>
  <c r="F223" i="2"/>
  <c r="D94" i="2"/>
  <c r="E80" i="2"/>
  <c r="C109" i="2"/>
  <c r="A5" i="2"/>
  <c r="B205" i="2"/>
  <c r="B97" i="2"/>
  <c r="F225" i="2"/>
  <c r="C68" i="2"/>
  <c r="C97" i="2"/>
  <c r="B169" i="2"/>
  <c r="C69" i="2"/>
  <c r="A199" i="2"/>
  <c r="F92" i="2"/>
  <c r="E227" i="2"/>
  <c r="E149" i="2"/>
  <c r="D156" i="2"/>
  <c r="A30" i="2"/>
  <c r="F149" i="2"/>
  <c r="E53" i="2"/>
  <c r="C178" i="2"/>
  <c r="B77" i="2"/>
  <c r="E207" i="2"/>
  <c r="E185" i="2"/>
  <c r="E150" i="2"/>
  <c r="B49" i="2"/>
  <c r="A173" i="2"/>
  <c r="D66" i="2"/>
  <c r="A195" i="2"/>
  <c r="E222" i="2"/>
  <c r="F107" i="2"/>
  <c r="A87" i="2"/>
  <c r="A90" i="2"/>
  <c r="C96" i="2"/>
  <c r="A232" i="2"/>
  <c r="F113" i="2"/>
  <c r="D15" i="2"/>
  <c r="A133" i="2"/>
  <c r="B197" i="2"/>
  <c r="F69" i="2"/>
  <c r="A186" i="2"/>
  <c r="B85" i="2"/>
  <c r="A192" i="2"/>
  <c r="D6" i="2"/>
  <c r="A100" i="2"/>
  <c r="E209" i="2"/>
  <c r="C163" i="2"/>
  <c r="E20" i="2"/>
  <c r="A107" i="2"/>
  <c r="B193" i="2"/>
  <c r="E32" i="2"/>
  <c r="A111" i="2"/>
  <c r="E193" i="2"/>
  <c r="A45" i="2"/>
  <c r="B123" i="2"/>
  <c r="C207" i="2"/>
  <c r="E56" i="2"/>
  <c r="D135" i="2"/>
  <c r="F220" i="2"/>
  <c r="F6" i="2"/>
  <c r="D73" i="2"/>
  <c r="B140" i="2"/>
  <c r="F206" i="2"/>
  <c r="B181" i="2"/>
  <c r="C51" i="2"/>
  <c r="A118" i="2"/>
  <c r="E184" i="2"/>
  <c r="B171" i="2"/>
  <c r="F34" i="2"/>
  <c r="D101" i="2"/>
  <c r="B168" i="2"/>
  <c r="E37" i="10" l="1"/>
  <c r="E37" i="11"/>
  <c r="B26" i="10"/>
  <c r="B26" i="11"/>
  <c r="F31" i="10"/>
  <c r="F31" i="11"/>
  <c r="H35" i="11"/>
  <c r="H35" i="10"/>
  <c r="E27" i="10"/>
  <c r="E27" i="11"/>
  <c r="F29" i="11"/>
  <c r="F29" i="10"/>
  <c r="E35" i="10"/>
  <c r="E35" i="11"/>
  <c r="B24" i="10"/>
  <c r="B24" i="11"/>
  <c r="F39" i="10"/>
  <c r="F39" i="11"/>
  <c r="F37" i="10"/>
  <c r="F37" i="11"/>
  <c r="E32" i="10"/>
  <c r="E32" i="11"/>
  <c r="B37" i="11"/>
  <c r="B37" i="10"/>
  <c r="H28" i="10"/>
  <c r="H28" i="11"/>
  <c r="B38" i="11"/>
  <c r="B38" i="10"/>
  <c r="B28" i="10"/>
  <c r="B28" i="11"/>
  <c r="H30" i="11"/>
  <c r="H30" i="10"/>
  <c r="B33" i="10"/>
  <c r="B33" i="11"/>
  <c r="G24" i="10"/>
  <c r="G24" i="11"/>
  <c r="G35" i="10"/>
  <c r="G35" i="11"/>
  <c r="E31" i="10"/>
  <c r="E31" i="11"/>
  <c r="F30" i="11"/>
  <c r="F30" i="10"/>
  <c r="B30" i="10"/>
  <c r="B30" i="11"/>
  <c r="F34" i="10"/>
  <c r="F34" i="11"/>
  <c r="H33" i="10"/>
  <c r="H33" i="11"/>
  <c r="G30" i="11"/>
  <c r="G30" i="10"/>
  <c r="F24" i="10"/>
  <c r="F24" i="11"/>
  <c r="H39" i="10"/>
  <c r="H39" i="11"/>
  <c r="F33" i="10"/>
  <c r="F33" i="11"/>
  <c r="B34" i="11"/>
  <c r="B34" i="10"/>
  <c r="H26" i="10"/>
  <c r="H26" i="11"/>
  <c r="G36" i="10"/>
  <c r="G36" i="11"/>
  <c r="F38" i="10"/>
  <c r="F38" i="11"/>
  <c r="G32" i="11"/>
  <c r="G32" i="10"/>
  <c r="H34" i="10"/>
  <c r="H34" i="11"/>
  <c r="H29" i="10"/>
  <c r="H29" i="11"/>
  <c r="E39" i="10"/>
  <c r="E39" i="11"/>
  <c r="E38" i="11"/>
  <c r="E38" i="10"/>
  <c r="H32" i="10"/>
  <c r="H32" i="11"/>
  <c r="E34" i="10"/>
  <c r="E34" i="11"/>
  <c r="F27" i="11"/>
  <c r="F27" i="10"/>
  <c r="F32" i="10"/>
  <c r="F32" i="11"/>
  <c r="H27" i="10"/>
  <c r="H27" i="11"/>
  <c r="F26" i="11"/>
  <c r="F26" i="10"/>
  <c r="B39" i="11"/>
  <c r="B39" i="10"/>
  <c r="E36" i="10"/>
  <c r="E36" i="11"/>
  <c r="B32" i="10"/>
  <c r="B32" i="11"/>
  <c r="G26" i="11"/>
  <c r="G26" i="10"/>
  <c r="B36" i="11"/>
  <c r="B36" i="10"/>
  <c r="E24" i="11"/>
  <c r="E24" i="10"/>
  <c r="G25" i="10"/>
  <c r="G25" i="11"/>
  <c r="B29" i="10"/>
  <c r="B29" i="11"/>
  <c r="B27" i="10"/>
  <c r="B27" i="11"/>
  <c r="G33" i="11"/>
  <c r="G33" i="10"/>
  <c r="E28" i="10"/>
  <c r="E28" i="11"/>
  <c r="G28" i="11"/>
  <c r="G28" i="10"/>
  <c r="E26" i="11"/>
  <c r="E26" i="10"/>
  <c r="H24" i="10"/>
  <c r="H24" i="11"/>
  <c r="G39" i="10"/>
  <c r="G39" i="11"/>
  <c r="G27" i="11"/>
  <c r="G27" i="10"/>
  <c r="F35" i="10"/>
  <c r="F35" i="11"/>
  <c r="B35" i="11"/>
  <c r="B35" i="10"/>
  <c r="E25" i="11"/>
  <c r="E25" i="10"/>
  <c r="H37" i="11"/>
  <c r="H37" i="10"/>
  <c r="F25" i="11"/>
  <c r="F25" i="10"/>
  <c r="E33" i="10"/>
  <c r="E33" i="11"/>
  <c r="G34" i="11"/>
  <c r="G34" i="10"/>
  <c r="H31" i="10"/>
  <c r="H31" i="11"/>
  <c r="H38" i="11"/>
  <c r="H38" i="10"/>
  <c r="B25" i="10"/>
  <c r="B25" i="11"/>
  <c r="G38" i="10"/>
  <c r="G38" i="11"/>
  <c r="G29" i="11"/>
  <c r="G29" i="10"/>
  <c r="H25" i="10"/>
  <c r="H25" i="11"/>
  <c r="G37" i="10"/>
  <c r="G37" i="11"/>
  <c r="E30" i="10"/>
  <c r="E30" i="11"/>
  <c r="G31" i="11"/>
  <c r="G31" i="10"/>
  <c r="E29" i="10"/>
  <c r="E29" i="11"/>
  <c r="F28" i="11"/>
  <c r="F28" i="10"/>
  <c r="H36" i="11"/>
  <c r="H36" i="10"/>
  <c r="B31" i="10"/>
  <c r="B31" i="11"/>
  <c r="F36" i="10"/>
  <c r="F36" i="11"/>
  <c r="E22" i="10"/>
  <c r="E22" i="11"/>
  <c r="H22" i="10"/>
  <c r="H22" i="11"/>
  <c r="H23" i="10"/>
  <c r="H23" i="11"/>
  <c r="G22" i="10"/>
  <c r="G22" i="11"/>
  <c r="F22" i="10"/>
  <c r="F22" i="11"/>
  <c r="E23" i="11"/>
  <c r="B22" i="10"/>
  <c r="B22" i="11"/>
  <c r="F23" i="10"/>
  <c r="F23" i="11"/>
  <c r="B23" i="10"/>
  <c r="B23" i="11"/>
  <c r="G23" i="10"/>
  <c r="G23" i="11"/>
  <c r="E23" i="10"/>
  <c r="E1" i="2"/>
  <c r="K40" i="10" l="1"/>
  <c r="K40" i="11"/>
  <c r="E1" i="1"/>
  <c r="H14" i="11"/>
  <c r="H18" i="11" s="1"/>
  <c r="H40" i="10" l="1"/>
  <c r="H42" i="10" s="1"/>
  <c r="H44" i="10" s="1"/>
  <c r="H46" i="10" s="1"/>
  <c r="H40" i="11"/>
  <c r="H42" i="11" s="1"/>
  <c r="H44" i="11" s="1"/>
  <c r="H4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</author>
  </authors>
  <commentList>
    <comment ref="K3" authorId="0" shapeId="0" xr:uid="{CDDD5683-5D90-4563-87FC-5297AB639A7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ハンガーフックも
ハンガーパイプも
ここで数える
</t>
        </r>
      </text>
    </comment>
  </commentList>
</comments>
</file>

<file path=xl/sharedStrings.xml><?xml version="1.0" encoding="utf-8"?>
<sst xmlns="http://schemas.openxmlformats.org/spreadsheetml/2006/main" count="689" uniqueCount="231">
  <si>
    <t>項　目</t>
    <rPh sb="0" eb="1">
      <t>コウ</t>
    </rPh>
    <rPh sb="2" eb="3">
      <t>メ</t>
    </rPh>
    <phoneticPr fontId="2"/>
  </si>
  <si>
    <t>単価</t>
    <rPh sb="0" eb="2">
      <t>タンカ</t>
    </rPh>
    <phoneticPr fontId="2"/>
  </si>
  <si>
    <t>単位</t>
    <rPh sb="0" eb="2">
      <t>タンイ</t>
    </rPh>
    <phoneticPr fontId="2"/>
  </si>
  <si>
    <t>数量</t>
    <rPh sb="0" eb="2">
      <t>スウリョウ</t>
    </rPh>
    <phoneticPr fontId="2"/>
  </si>
  <si>
    <t>税抜金額</t>
    <rPh sb="0" eb="2">
      <t>ゼイヌ</t>
    </rPh>
    <rPh sb="2" eb="4">
      <t>キンガク</t>
    </rPh>
    <phoneticPr fontId="2"/>
  </si>
  <si>
    <t>見積No.001</t>
    <rPh sb="0" eb="2">
      <t>ミツモリ</t>
    </rPh>
    <phoneticPr fontId="2"/>
  </si>
  <si>
    <t>原価単価</t>
    <rPh sb="0" eb="2">
      <t>ゲンカ</t>
    </rPh>
    <rPh sb="2" eb="4">
      <t>タンカ</t>
    </rPh>
    <phoneticPr fontId="2"/>
  </si>
  <si>
    <t>利益率</t>
    <rPh sb="0" eb="2">
      <t>リエキ</t>
    </rPh>
    <rPh sb="2" eb="3">
      <t>リツ</t>
    </rPh>
    <phoneticPr fontId="2"/>
  </si>
  <si>
    <t>式</t>
    <rPh sb="0" eb="1">
      <t>シキ</t>
    </rPh>
    <phoneticPr fontId="2"/>
  </si>
  <si>
    <t>原価合計</t>
    <rPh sb="0" eb="2">
      <t>ゲンカ</t>
    </rPh>
    <rPh sb="2" eb="3">
      <t>ゴウ</t>
    </rPh>
    <rPh sb="3" eb="4">
      <t>ケイ</t>
    </rPh>
    <phoneticPr fontId="2"/>
  </si>
  <si>
    <t>原価合計</t>
    <rPh sb="0" eb="2">
      <t>ゲンカ</t>
    </rPh>
    <rPh sb="2" eb="4">
      <t>ゴウケイ</t>
    </rPh>
    <phoneticPr fontId="2"/>
  </si>
  <si>
    <t>㎡</t>
    <phoneticPr fontId="2"/>
  </si>
  <si>
    <t>洗面前壁 タイル</t>
    <rPh sb="0" eb="2">
      <t>センメン</t>
    </rPh>
    <rPh sb="2" eb="4">
      <t>マエカベ</t>
    </rPh>
    <phoneticPr fontId="2"/>
  </si>
  <si>
    <t>■ ITEM OPTION</t>
    <phoneticPr fontId="2"/>
  </si>
  <si>
    <t>実物件名</t>
    <rPh sb="0" eb="1">
      <t>ジツ</t>
    </rPh>
    <rPh sb="1" eb="3">
      <t>ブッケン</t>
    </rPh>
    <rPh sb="3" eb="4">
      <t>メイ</t>
    </rPh>
    <phoneticPr fontId="2"/>
  </si>
  <si>
    <t>和合２階建 NERO</t>
    <rPh sb="0" eb="2">
      <t>ワゴウ</t>
    </rPh>
    <rPh sb="3" eb="4">
      <t>カイ</t>
    </rPh>
    <rPh sb="4" eb="5">
      <t>タ</t>
    </rPh>
    <phoneticPr fontId="2"/>
  </si>
  <si>
    <t>＊＊＊</t>
    <phoneticPr fontId="2"/>
  </si>
  <si>
    <t>項目</t>
    <rPh sb="0" eb="2">
      <t>コウモク</t>
    </rPh>
    <phoneticPr fontId="2"/>
  </si>
  <si>
    <t>キッチン</t>
    <phoneticPr fontId="2"/>
  </si>
  <si>
    <t>カウンタ-</t>
    <phoneticPr fontId="2"/>
  </si>
  <si>
    <t>ｱｰﾄﾗﾝﾊﾞｰOﾀｲﾌﾟ奥行300以下</t>
    <rPh sb="13" eb="15">
      <t>オクユキ</t>
    </rPh>
    <rPh sb="18" eb="20">
      <t>イカ</t>
    </rPh>
    <phoneticPr fontId="2"/>
  </si>
  <si>
    <t>ｱｰﾄﾗﾝﾊﾞｰOﾀｲﾌﾟ奥行301以上</t>
    <rPh sb="13" eb="15">
      <t>オクユキ</t>
    </rPh>
    <phoneticPr fontId="2"/>
  </si>
  <si>
    <t>棚金物</t>
    <rPh sb="0" eb="1">
      <t>タナ</t>
    </rPh>
    <rPh sb="1" eb="3">
      <t>カナモノ</t>
    </rPh>
    <phoneticPr fontId="2"/>
  </si>
  <si>
    <t>フリーメイド幅6尺以下</t>
    <rPh sb="6" eb="7">
      <t>ハバ</t>
    </rPh>
    <phoneticPr fontId="2"/>
  </si>
  <si>
    <t>フリーメイド幅9尺</t>
    <rPh sb="6" eb="7">
      <t>ハバ</t>
    </rPh>
    <phoneticPr fontId="2"/>
  </si>
  <si>
    <t>方立板</t>
    <rPh sb="0" eb="2">
      <t>ホウダテ</t>
    </rPh>
    <rPh sb="2" eb="3">
      <t>バン</t>
    </rPh>
    <phoneticPr fontId="2"/>
  </si>
  <si>
    <t>畳コーナー下</t>
    <rPh sb="0" eb="1">
      <t>タタミ</t>
    </rPh>
    <rPh sb="5" eb="6">
      <t>シタ</t>
    </rPh>
    <phoneticPr fontId="2"/>
  </si>
  <si>
    <t>トイレ棚</t>
    <rPh sb="3" eb="4">
      <t>タナ</t>
    </rPh>
    <phoneticPr fontId="2"/>
  </si>
  <si>
    <t>L型カウンター</t>
    <rPh sb="1" eb="2">
      <t>カタ</t>
    </rPh>
    <phoneticPr fontId="2"/>
  </si>
  <si>
    <t>積層材㎥</t>
    <phoneticPr fontId="2"/>
  </si>
  <si>
    <t>幅450棚</t>
    <rPh sb="0" eb="1">
      <t>ハバ</t>
    </rPh>
    <rPh sb="4" eb="5">
      <t>タナ</t>
    </rPh>
    <phoneticPr fontId="2"/>
  </si>
  <si>
    <t>幅900棚</t>
    <rPh sb="0" eb="1">
      <t>ハバ</t>
    </rPh>
    <rPh sb="4" eb="5">
      <t>タナ</t>
    </rPh>
    <phoneticPr fontId="2"/>
  </si>
  <si>
    <t>幅1820棚</t>
    <rPh sb="0" eb="1">
      <t>ハバ</t>
    </rPh>
    <rPh sb="5" eb="6">
      <t>タナ</t>
    </rPh>
    <phoneticPr fontId="2"/>
  </si>
  <si>
    <t>棚柱ｾｯﾄ</t>
    <rPh sb="0" eb="1">
      <t>タナ</t>
    </rPh>
    <rPh sb="1" eb="2">
      <t>バシラ</t>
    </rPh>
    <phoneticPr fontId="2"/>
  </si>
  <si>
    <t>ｱｰﾑﾊﾝｸﾞ棚受</t>
    <rPh sb="7" eb="8">
      <t>タナ</t>
    </rPh>
    <rPh sb="8" eb="9">
      <t>ウ</t>
    </rPh>
    <phoneticPr fontId="2"/>
  </si>
  <si>
    <t>ノダ枕棚</t>
    <rPh sb="2" eb="3">
      <t>マクラ</t>
    </rPh>
    <rPh sb="3" eb="4">
      <t>タナ</t>
    </rPh>
    <phoneticPr fontId="2"/>
  </si>
  <si>
    <t>ノダ中段棚</t>
    <rPh sb="2" eb="4">
      <t>チュウダン</t>
    </rPh>
    <rPh sb="4" eb="5">
      <t>タナ</t>
    </rPh>
    <phoneticPr fontId="2"/>
  </si>
  <si>
    <t>ノダパイプ</t>
    <phoneticPr fontId="2"/>
  </si>
  <si>
    <t>ランバーｔ27</t>
    <phoneticPr fontId="2"/>
  </si>
  <si>
    <t>引き出し</t>
    <rPh sb="0" eb="1">
      <t>ヒ</t>
    </rPh>
    <rPh sb="2" eb="3">
      <t>ダ</t>
    </rPh>
    <phoneticPr fontId="2"/>
  </si>
  <si>
    <t>幅3尺</t>
    <rPh sb="0" eb="1">
      <t>ハバ</t>
    </rPh>
    <rPh sb="2" eb="3">
      <t>シャク</t>
    </rPh>
    <phoneticPr fontId="2"/>
  </si>
  <si>
    <t>合計金額</t>
    <rPh sb="0" eb="2">
      <t>ゴウケイ</t>
    </rPh>
    <rPh sb="2" eb="4">
      <t>キンガク</t>
    </rPh>
    <phoneticPr fontId="2"/>
  </si>
  <si>
    <t>アートランバー棚t=20</t>
    <rPh sb="7" eb="8">
      <t>タナ</t>
    </rPh>
    <phoneticPr fontId="2"/>
  </si>
  <si>
    <t>ノダ（白）</t>
    <rPh sb="3" eb="4">
      <t>シロ</t>
    </rPh>
    <phoneticPr fontId="2"/>
  </si>
  <si>
    <t>中段</t>
    <rPh sb="0" eb="2">
      <t>チュウダン</t>
    </rPh>
    <phoneticPr fontId="2"/>
  </si>
  <si>
    <t>枕棚</t>
    <rPh sb="0" eb="1">
      <t>マクラ</t>
    </rPh>
    <rPh sb="1" eb="2">
      <t>タナ</t>
    </rPh>
    <phoneticPr fontId="2"/>
  </si>
  <si>
    <t>パイプ</t>
  </si>
  <si>
    <t>奥行300</t>
    <rPh sb="0" eb="2">
      <t>オクユキ</t>
    </rPh>
    <phoneticPr fontId="2"/>
  </si>
  <si>
    <t>D450</t>
    <phoneticPr fontId="2"/>
  </si>
  <si>
    <t>D600</t>
    <phoneticPr fontId="2"/>
  </si>
  <si>
    <t>D910</t>
    <phoneticPr fontId="2"/>
  </si>
  <si>
    <t>0.5間</t>
    <rPh sb="3" eb="4">
      <t>ケン</t>
    </rPh>
    <phoneticPr fontId="2"/>
  </si>
  <si>
    <t>幅350</t>
    <rPh sb="0" eb="1">
      <t>ハバ</t>
    </rPh>
    <phoneticPr fontId="2"/>
  </si>
  <si>
    <t>ｱｰﾑﾊﾝｸﾞｓｓ182</t>
    <phoneticPr fontId="2"/>
  </si>
  <si>
    <t>棚受け200</t>
    <rPh sb="0" eb="1">
      <t>タナ</t>
    </rPh>
    <rPh sb="1" eb="2">
      <t>ウ</t>
    </rPh>
    <phoneticPr fontId="2"/>
  </si>
  <si>
    <t>棚受け250</t>
    <rPh sb="0" eb="1">
      <t>タナ</t>
    </rPh>
    <rPh sb="1" eb="2">
      <t>ウ</t>
    </rPh>
    <phoneticPr fontId="2"/>
  </si>
  <si>
    <t>棚受け300</t>
    <rPh sb="0" eb="1">
      <t>タナ</t>
    </rPh>
    <rPh sb="1" eb="2">
      <t>ウ</t>
    </rPh>
    <phoneticPr fontId="2"/>
  </si>
  <si>
    <t>棚受け450</t>
    <rPh sb="0" eb="1">
      <t>タナ</t>
    </rPh>
    <rPh sb="1" eb="2">
      <t>ウ</t>
    </rPh>
    <phoneticPr fontId="2"/>
  </si>
  <si>
    <t>0.45間</t>
    <rPh sb="4" eb="5">
      <t>ケン</t>
    </rPh>
    <phoneticPr fontId="2"/>
  </si>
  <si>
    <t>幅450</t>
    <rPh sb="0" eb="1">
      <t>ハバ</t>
    </rPh>
    <phoneticPr fontId="2"/>
  </si>
  <si>
    <t>1.0間</t>
    <rPh sb="3" eb="4">
      <t>ケン</t>
    </rPh>
    <phoneticPr fontId="2"/>
  </si>
  <si>
    <t>幅600</t>
    <rPh sb="0" eb="1">
      <t>ハバ</t>
    </rPh>
    <phoneticPr fontId="2"/>
  </si>
  <si>
    <t>1.5間</t>
    <rPh sb="3" eb="4">
      <t>ケン</t>
    </rPh>
    <phoneticPr fontId="2"/>
  </si>
  <si>
    <t>幅900</t>
    <rPh sb="0" eb="1">
      <t>ハバ</t>
    </rPh>
    <phoneticPr fontId="2"/>
  </si>
  <si>
    <t>棚柱ｾｯﾄ（白）</t>
    <rPh sb="0" eb="1">
      <t>タナ</t>
    </rPh>
    <rPh sb="1" eb="2">
      <t>バシラ</t>
    </rPh>
    <rPh sb="6" eb="7">
      <t>シロ</t>
    </rPh>
    <phoneticPr fontId="2"/>
  </si>
  <si>
    <t>棚受１ｾｯﾄ</t>
    <rPh sb="0" eb="1">
      <t>タナ</t>
    </rPh>
    <rPh sb="1" eb="2">
      <t>ウ</t>
    </rPh>
    <phoneticPr fontId="2"/>
  </si>
  <si>
    <t>幅1450</t>
    <rPh sb="0" eb="1">
      <t>ハバ</t>
    </rPh>
    <phoneticPr fontId="2"/>
  </si>
  <si>
    <t>12×1820</t>
    <phoneticPr fontId="2"/>
  </si>
  <si>
    <t>積層材原価</t>
    <rPh sb="0" eb="2">
      <t>セキソウ</t>
    </rPh>
    <rPh sb="2" eb="3">
      <t>ザイ</t>
    </rPh>
    <rPh sb="3" eb="5">
      <t>ゲンカ</t>
    </rPh>
    <phoneticPr fontId="2"/>
  </si>
  <si>
    <t>ゴム（ノダ）</t>
    <phoneticPr fontId="2"/>
  </si>
  <si>
    <t>アカシア</t>
    <phoneticPr fontId="2"/>
  </si>
  <si>
    <t>ホワイトアッシュ</t>
    <phoneticPr fontId="2"/>
  </si>
  <si>
    <t>幅1810</t>
    <rPh sb="0" eb="1">
      <t>ハバ</t>
    </rPh>
    <phoneticPr fontId="2"/>
  </si>
  <si>
    <t>１㎥当り</t>
    <rPh sb="2" eb="3">
      <t>アタ</t>
    </rPh>
    <phoneticPr fontId="2"/>
  </si>
  <si>
    <t>ノダ×0.285　カウンタ×0.34-　枕棚×0.4</t>
    <phoneticPr fontId="2"/>
  </si>
  <si>
    <t>巾ハギ↑</t>
    <rPh sb="0" eb="1">
      <t>ハバ</t>
    </rPh>
    <phoneticPr fontId="2"/>
  </si>
  <si>
    <t>アートランバー棚t=27（収納仕切壁用）</t>
    <rPh sb="7" eb="8">
      <t>タナ</t>
    </rPh>
    <rPh sb="13" eb="15">
      <t>シュウノウ</t>
    </rPh>
    <rPh sb="15" eb="17">
      <t>シキ</t>
    </rPh>
    <rPh sb="17" eb="18">
      <t>カベ</t>
    </rPh>
    <rPh sb="18" eb="19">
      <t>ヨウ</t>
    </rPh>
    <phoneticPr fontId="2"/>
  </si>
  <si>
    <t>南海は×0.4（金物0.5）</t>
    <rPh sb="0" eb="2">
      <t>ナンカイ</t>
    </rPh>
    <rPh sb="8" eb="10">
      <t>カナモノ</t>
    </rPh>
    <phoneticPr fontId="2"/>
  </si>
  <si>
    <t>1か所</t>
    <rPh sb="2" eb="3">
      <t>ショ</t>
    </rPh>
    <phoneticPr fontId="2"/>
  </si>
  <si>
    <t>D300</t>
    <phoneticPr fontId="2"/>
  </si>
  <si>
    <t>2階洗面配管</t>
    <rPh sb="1" eb="2">
      <t>カイ</t>
    </rPh>
    <rPh sb="2" eb="4">
      <t>センメン</t>
    </rPh>
    <rPh sb="4" eb="6">
      <t>ハイカン</t>
    </rPh>
    <phoneticPr fontId="2"/>
  </si>
  <si>
    <t>原価</t>
    <rPh sb="0" eb="2">
      <t>ゲンカ</t>
    </rPh>
    <phoneticPr fontId="2"/>
  </si>
  <si>
    <t>高さ2410</t>
    <rPh sb="0" eb="1">
      <t>タカ</t>
    </rPh>
    <phoneticPr fontId="2"/>
  </si>
  <si>
    <t>高さ2700</t>
    <rPh sb="0" eb="1">
      <t>タカ</t>
    </rPh>
    <phoneticPr fontId="2"/>
  </si>
  <si>
    <t>畳下引出し</t>
    <rPh sb="0" eb="1">
      <t>タタミ</t>
    </rPh>
    <rPh sb="1" eb="2">
      <t>シタ</t>
    </rPh>
    <rPh sb="2" eb="3">
      <t>ヒ</t>
    </rPh>
    <rPh sb="3" eb="4">
      <t>ダ</t>
    </rPh>
    <phoneticPr fontId="2"/>
  </si>
  <si>
    <t>合計数量</t>
    <rPh sb="0" eb="2">
      <t>ゴウケイ</t>
    </rPh>
    <rPh sb="2" eb="4">
      <t>スウリョウ</t>
    </rPh>
    <phoneticPr fontId="2"/>
  </si>
  <si>
    <t>材工価格</t>
    <rPh sb="0" eb="2">
      <t>ザイコウ</t>
    </rPh>
    <rPh sb="2" eb="4">
      <t>カカク</t>
    </rPh>
    <phoneticPr fontId="2"/>
  </si>
  <si>
    <t>原価材料</t>
    <rPh sb="0" eb="2">
      <t>ゲンカ</t>
    </rPh>
    <rPh sb="2" eb="4">
      <t>ザイリョウ</t>
    </rPh>
    <phoneticPr fontId="2"/>
  </si>
  <si>
    <t>原価施工費</t>
    <rPh sb="0" eb="2">
      <t>ゲンカ</t>
    </rPh>
    <rPh sb="2" eb="4">
      <t>セコウ</t>
    </rPh>
    <rPh sb="4" eb="5">
      <t>ヒ</t>
    </rPh>
    <phoneticPr fontId="2"/>
  </si>
  <si>
    <t>650000→800000変更</t>
    <rPh sb="13" eb="15">
      <t>ヘンコウ</t>
    </rPh>
    <phoneticPr fontId="2"/>
  </si>
  <si>
    <t>　　　　　部　　　位</t>
    <phoneticPr fontId="2"/>
  </si>
  <si>
    <t>家具・棚工事　標準数量との差額</t>
    <rPh sb="7" eb="9">
      <t>ヒョウジュン</t>
    </rPh>
    <rPh sb="9" eb="11">
      <t>スウリョウ</t>
    </rPh>
    <rPh sb="13" eb="15">
      <t>サガク</t>
    </rPh>
    <phoneticPr fontId="2"/>
  </si>
  <si>
    <t>←追加原価</t>
    <rPh sb="1" eb="3">
      <t>ツイカ</t>
    </rPh>
    <rPh sb="3" eb="5">
      <t>ゲンカ</t>
    </rPh>
    <phoneticPr fontId="2"/>
  </si>
  <si>
    <t>マイナスは減額おこさない。</t>
    <rPh sb="5" eb="7">
      <t>ゲンガク</t>
    </rPh>
    <phoneticPr fontId="2"/>
  </si>
  <si>
    <t>22万吹抜　TV足2.4万　物干2.5万　棚2万　図面2万　施工2.5万</t>
    <rPh sb="2" eb="3">
      <t>マン</t>
    </rPh>
    <rPh sb="3" eb="5">
      <t>フキヌ</t>
    </rPh>
    <rPh sb="8" eb="9">
      <t>アシ</t>
    </rPh>
    <rPh sb="12" eb="13">
      <t>マン</t>
    </rPh>
    <rPh sb="14" eb="16">
      <t>モノホ</t>
    </rPh>
    <rPh sb="19" eb="20">
      <t>マン</t>
    </rPh>
    <rPh sb="21" eb="22">
      <t>タナ</t>
    </rPh>
    <rPh sb="23" eb="24">
      <t>マン</t>
    </rPh>
    <rPh sb="25" eb="27">
      <t>ズメン</t>
    </rPh>
    <rPh sb="28" eb="29">
      <t>マン</t>
    </rPh>
    <rPh sb="30" eb="32">
      <t>セコウ</t>
    </rPh>
    <rPh sb="35" eb="36">
      <t>マン</t>
    </rPh>
    <phoneticPr fontId="2"/>
  </si>
  <si>
    <t>ユニットバス　折れ戸→ドア変更・ワイドミラーに変更</t>
    <phoneticPr fontId="2"/>
  </si>
  <si>
    <t>和合平屋 LOHAS</t>
    <phoneticPr fontId="2"/>
  </si>
  <si>
    <t>坪</t>
    <rPh sb="0" eb="1">
      <t>ツボ</t>
    </rPh>
    <phoneticPr fontId="2"/>
  </si>
  <si>
    <t>三谷武司邸参照</t>
    <phoneticPr fontId="2"/>
  </si>
  <si>
    <t>高いのでTFファニチャーにする。</t>
    <rPh sb="0" eb="1">
      <t>タカ</t>
    </rPh>
    <phoneticPr fontId="2"/>
  </si>
  <si>
    <t>アイアン壁付け手摺（フラットバー）</t>
    <rPh sb="4" eb="5">
      <t>カベ</t>
    </rPh>
    <rPh sb="5" eb="6">
      <t>ツ</t>
    </rPh>
    <rPh sb="7" eb="9">
      <t>テスリ</t>
    </rPh>
    <phoneticPr fontId="2"/>
  </si>
  <si>
    <t>木製ストリップ直階段（手摺別）</t>
    <rPh sb="0" eb="2">
      <t>モクセイ</t>
    </rPh>
    <rPh sb="7" eb="8">
      <t>チョク</t>
    </rPh>
    <rPh sb="8" eb="10">
      <t>カイダン</t>
    </rPh>
    <rPh sb="11" eb="13">
      <t>テスリ</t>
    </rPh>
    <rPh sb="13" eb="14">
      <t>ベツ</t>
    </rPh>
    <phoneticPr fontId="2"/>
  </si>
  <si>
    <t>アイアン吹抜手摺（支柱あり）</t>
    <rPh sb="4" eb="6">
      <t>フキヌ</t>
    </rPh>
    <rPh sb="6" eb="8">
      <t>テスリ</t>
    </rPh>
    <rPh sb="9" eb="11">
      <t>シチュウ</t>
    </rPh>
    <phoneticPr fontId="2"/>
  </si>
  <si>
    <t>アイアン階段手摺（支柱あり）</t>
    <rPh sb="4" eb="6">
      <t>カイダン</t>
    </rPh>
    <rPh sb="6" eb="8">
      <t>テスリ</t>
    </rPh>
    <rPh sb="9" eb="11">
      <t>シチュウ</t>
    </rPh>
    <phoneticPr fontId="2"/>
  </si>
  <si>
    <t>畳を縁無半帖畳変更（ダイケン畳表）※３畳（６枚）</t>
    <phoneticPr fontId="2"/>
  </si>
  <si>
    <t>畳を縁無半帖畳変更（ダイケン畳表）※4.5畳（9枚）</t>
    <phoneticPr fontId="2"/>
  </si>
  <si>
    <t>畳を縁無半帖畳変更（ダイケン畳表）※6.0畳（12枚）</t>
    <phoneticPr fontId="2"/>
  </si>
  <si>
    <t>笠井ビラモデル　寝室壁</t>
    <rPh sb="0" eb="2">
      <t>カサイ</t>
    </rPh>
    <rPh sb="8" eb="10">
      <t>シンシツ</t>
    </rPh>
    <rPh sb="10" eb="11">
      <t>カベ</t>
    </rPh>
    <phoneticPr fontId="2"/>
  </si>
  <si>
    <t>ｍ</t>
    <phoneticPr fontId="2"/>
  </si>
  <si>
    <t>笠井ビラモデル リビング壁　　TilePark ブルー＆ホワイト　CE36035RG / 600x300角</t>
    <rPh sb="0" eb="2">
      <t>カサイ</t>
    </rPh>
    <rPh sb="12" eb="13">
      <t>カベ</t>
    </rPh>
    <phoneticPr fontId="2"/>
  </si>
  <si>
    <t>アクシス</t>
    <phoneticPr fontId="2"/>
  </si>
  <si>
    <t>コ</t>
    <phoneticPr fontId="2"/>
  </si>
  <si>
    <t>フルオート便座</t>
    <rPh sb="5" eb="7">
      <t>ベンザ</t>
    </rPh>
    <phoneticPr fontId="2"/>
  </si>
  <si>
    <t>客出し単価＠11万/㎡</t>
    <rPh sb="0" eb="2">
      <t>キャクダ</t>
    </rPh>
    <rPh sb="3" eb="5">
      <t>タンカ</t>
    </rPh>
    <rPh sb="8" eb="9">
      <t>マン</t>
    </rPh>
    <phoneticPr fontId="2"/>
  </si>
  <si>
    <t>客出し単価＠23万/㎡　1㎡以下の規模</t>
    <rPh sb="14" eb="16">
      <t>イカ</t>
    </rPh>
    <rPh sb="17" eb="19">
      <t>キボ</t>
    </rPh>
    <phoneticPr fontId="2"/>
  </si>
  <si>
    <t>TFﾌｧﾆﾁｬ併用タイルの場合1式11万客出し</t>
    <rPh sb="7" eb="9">
      <t>ヘイヨウ</t>
    </rPh>
    <rPh sb="13" eb="15">
      <t>バアイ</t>
    </rPh>
    <rPh sb="16" eb="17">
      <t>シキ</t>
    </rPh>
    <rPh sb="19" eb="20">
      <t>マン</t>
    </rPh>
    <rPh sb="20" eb="21">
      <t>キャク</t>
    </rPh>
    <rPh sb="21" eb="22">
      <t>ダ</t>
    </rPh>
    <phoneticPr fontId="2"/>
  </si>
  <si>
    <t>長さ当たり単価</t>
    <rPh sb="0" eb="1">
      <t>ナガ</t>
    </rPh>
    <rPh sb="2" eb="3">
      <t>ア</t>
    </rPh>
    <rPh sb="5" eb="7">
      <t>タンカ</t>
    </rPh>
    <phoneticPr fontId="2"/>
  </si>
  <si>
    <t>大工手間　材料代　</t>
    <rPh sb="7" eb="8">
      <t>ダイ</t>
    </rPh>
    <phoneticPr fontId="2"/>
  </si>
  <si>
    <t>間接照明棚・ｶｰﾃﾝBox造作等</t>
    <rPh sb="0" eb="2">
      <t>カンセツ</t>
    </rPh>
    <rPh sb="2" eb="4">
      <t>ショウメイ</t>
    </rPh>
    <rPh sb="4" eb="5">
      <t>タナ</t>
    </rPh>
    <rPh sb="13" eb="15">
      <t>ゾウサク</t>
    </rPh>
    <rPh sb="15" eb="16">
      <t>トウ</t>
    </rPh>
    <phoneticPr fontId="2"/>
  </si>
  <si>
    <t>ベーシアハーモJ　ﾀﾝｸﾚｽﾄｲﾚ</t>
    <phoneticPr fontId="2"/>
  </si>
  <si>
    <t>乾太くん本体（ガス契約別途）</t>
    <phoneticPr fontId="2"/>
  </si>
  <si>
    <t>LIXIL背面カウンター収納L1800　引出+オープン</t>
    <rPh sb="20" eb="21">
      <t>ヒ</t>
    </rPh>
    <rPh sb="21" eb="22">
      <t>ダ</t>
    </rPh>
    <phoneticPr fontId="2"/>
  </si>
  <si>
    <t>LIXIL KB吹抜用手摺（樹脂パネル）</t>
    <rPh sb="8" eb="10">
      <t>フキヌケ</t>
    </rPh>
    <rPh sb="10" eb="11">
      <t>ヨウ</t>
    </rPh>
    <rPh sb="11" eb="13">
      <t>テスリ</t>
    </rPh>
    <rPh sb="14" eb="16">
      <t>ジュシ</t>
    </rPh>
    <phoneticPr fontId="2"/>
  </si>
  <si>
    <t>1820＝158860　　2730＝233675　3640＝311220</t>
    <phoneticPr fontId="2"/>
  </si>
  <si>
    <t>LIXIL 木質手摺（D型）</t>
    <rPh sb="6" eb="8">
      <t>モクシツ</t>
    </rPh>
    <rPh sb="8" eb="10">
      <t>テスリ</t>
    </rPh>
    <rPh sb="12" eb="13">
      <t>ガタ</t>
    </rPh>
    <phoneticPr fontId="2"/>
  </si>
  <si>
    <t>概算適当!!</t>
    <rPh sb="0" eb="2">
      <t>ガイサン</t>
    </rPh>
    <rPh sb="2" eb="4">
      <t>テキトウ</t>
    </rPh>
    <phoneticPr fontId="2"/>
  </si>
  <si>
    <t>エコキュート　高圧タイプ</t>
    <rPh sb="7" eb="9">
      <t>コウアツ</t>
    </rPh>
    <phoneticPr fontId="2"/>
  </si>
  <si>
    <t>外部シャワー用　給湯配管</t>
    <rPh sb="0" eb="2">
      <t>ガイブ</t>
    </rPh>
    <rPh sb="6" eb="7">
      <t>ヨウ</t>
    </rPh>
    <rPh sb="8" eb="10">
      <t>キュウトウ</t>
    </rPh>
    <rPh sb="10" eb="12">
      <t>ハイカン</t>
    </rPh>
    <phoneticPr fontId="2"/>
  </si>
  <si>
    <t>タープフック</t>
    <phoneticPr fontId="2"/>
  </si>
  <si>
    <t>ミラー（姿見）</t>
    <rPh sb="4" eb="6">
      <t>スガタミ</t>
    </rPh>
    <phoneticPr fontId="2"/>
  </si>
  <si>
    <t>洗濯パン</t>
    <rPh sb="0" eb="2">
      <t>センタク</t>
    </rPh>
    <phoneticPr fontId="2"/>
  </si>
  <si>
    <t>＝</t>
    <phoneticPr fontId="32"/>
  </si>
  <si>
    <t>（税込み）</t>
    <rPh sb="1" eb="2">
      <t>ゼイ</t>
    </rPh>
    <rPh sb="2" eb="3">
      <t>コ</t>
    </rPh>
    <phoneticPr fontId="2"/>
  </si>
  <si>
    <t>建築本体工事費用</t>
    <rPh sb="0" eb="2">
      <t>ケンチク</t>
    </rPh>
    <rPh sb="2" eb="4">
      <t>ホンタイ</t>
    </rPh>
    <rPh sb="4" eb="6">
      <t>コウジ</t>
    </rPh>
    <rPh sb="6" eb="8">
      <t>ヒヨウ</t>
    </rPh>
    <phoneticPr fontId="32"/>
  </si>
  <si>
    <t>(10%)</t>
    <phoneticPr fontId="2"/>
  </si>
  <si>
    <t>建物消費税</t>
    <rPh sb="0" eb="2">
      <t>タテモノ</t>
    </rPh>
    <rPh sb="2" eb="4">
      <t>ショウヒ</t>
    </rPh>
    <rPh sb="4" eb="5">
      <t>ゼイ</t>
    </rPh>
    <phoneticPr fontId="32"/>
  </si>
  <si>
    <t>（税抜き）</t>
    <rPh sb="1" eb="2">
      <t>ゼイ</t>
    </rPh>
    <rPh sb="2" eb="3">
      <t>ヌ</t>
    </rPh>
    <phoneticPr fontId="2"/>
  </si>
  <si>
    <t>標準外の工事</t>
    <rPh sb="0" eb="2">
      <t>ヒョウジュン</t>
    </rPh>
    <rPh sb="2" eb="3">
      <t>ガイ</t>
    </rPh>
    <rPh sb="4" eb="6">
      <t>コウジ</t>
    </rPh>
    <phoneticPr fontId="32"/>
  </si>
  <si>
    <t>金額</t>
    <rPh sb="0" eb="2">
      <t>キンガク</t>
    </rPh>
    <phoneticPr fontId="2"/>
  </si>
  <si>
    <t>（標準工事に含まれない項目＝オプション）</t>
    <rPh sb="1" eb="3">
      <t>ヒョウジュン</t>
    </rPh>
    <rPh sb="3" eb="5">
      <t>コウジ</t>
    </rPh>
    <rPh sb="6" eb="7">
      <t>フク</t>
    </rPh>
    <rPh sb="11" eb="13">
      <t>コウモク</t>
    </rPh>
    <phoneticPr fontId="2"/>
  </si>
  <si>
    <t>オプション工事</t>
    <rPh sb="5" eb="7">
      <t>コウジ</t>
    </rPh>
    <phoneticPr fontId="32"/>
  </si>
  <si>
    <t>④</t>
    <phoneticPr fontId="2"/>
  </si>
  <si>
    <t>⇓</t>
    <phoneticPr fontId="32"/>
  </si>
  <si>
    <t>（坪）</t>
    <phoneticPr fontId="2"/>
  </si>
  <si>
    <t>×</t>
    <phoneticPr fontId="32"/>
  </si>
  <si>
    <t>③</t>
    <phoneticPr fontId="2"/>
  </si>
  <si>
    <t>＋</t>
    <phoneticPr fontId="32"/>
  </si>
  <si>
    <t>②</t>
    <phoneticPr fontId="2"/>
  </si>
  <si>
    <t>基準価格</t>
    <rPh sb="0" eb="2">
      <t>キジュン</t>
    </rPh>
    <rPh sb="2" eb="4">
      <t>カカク</t>
    </rPh>
    <phoneticPr fontId="32"/>
  </si>
  <si>
    <t>①</t>
    <phoneticPr fontId="2"/>
  </si>
  <si>
    <t>小数点第2位切り捨て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</si>
  <si>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延べ施工床面積</t>
    <rPh sb="0" eb="1">
      <t>ノベ</t>
    </rPh>
    <rPh sb="2" eb="5">
      <t>セコウユカ</t>
    </rPh>
    <rPh sb="5" eb="7">
      <t>メンセキ</t>
    </rPh>
    <phoneticPr fontId="32"/>
  </si>
  <si>
    <t>２階施工床面積</t>
    <rPh sb="1" eb="2">
      <t>カイ</t>
    </rPh>
    <rPh sb="2" eb="7">
      <t>セコウユカメンセキ</t>
    </rPh>
    <phoneticPr fontId="32"/>
  </si>
  <si>
    <t>１階施工床面積</t>
    <rPh sb="1" eb="2">
      <t>カイ</t>
    </rPh>
    <rPh sb="2" eb="5">
      <t>セコウユカ</t>
    </rPh>
    <rPh sb="5" eb="7">
      <t>メンセキ</t>
    </rPh>
    <phoneticPr fontId="32"/>
  </si>
  <si>
    <t>邸新築工事</t>
    <rPh sb="0" eb="1">
      <t>テイ</t>
    </rPh>
    <rPh sb="1" eb="3">
      <t>シンチク</t>
    </rPh>
    <rPh sb="3" eb="5">
      <t>コウジ</t>
    </rPh>
    <phoneticPr fontId="32"/>
  </si>
  <si>
    <t>PJ-Ver1.00</t>
    <phoneticPr fontId="2"/>
  </si>
  <si>
    <t>建築本体価格 見積書　</t>
    <rPh sb="0" eb="2">
      <t>ケンチク</t>
    </rPh>
    <rPh sb="2" eb="4">
      <t>ホンタイ</t>
    </rPh>
    <rPh sb="4" eb="6">
      <t>カカク</t>
    </rPh>
    <rPh sb="7" eb="9">
      <t>ミツモリ</t>
    </rPh>
    <rPh sb="9" eb="10">
      <t>ショ</t>
    </rPh>
    <phoneticPr fontId="32"/>
  </si>
  <si>
    <t>■オプション工事</t>
    <phoneticPr fontId="2"/>
  </si>
  <si>
    <t>ここ以下は表示されない</t>
    <rPh sb="2" eb="4">
      <t>イカ</t>
    </rPh>
    <rPh sb="5" eb="7">
      <t>ヒョウジ</t>
    </rPh>
    <phoneticPr fontId="2"/>
  </si>
  <si>
    <t>外部袖壁（M:ﾓｼﾞｭｰﾙ長さ）</t>
    <phoneticPr fontId="2"/>
  </si>
  <si>
    <t>屋根延長</t>
    <phoneticPr fontId="2"/>
  </si>
  <si>
    <t>FRP防水</t>
    <phoneticPr fontId="2"/>
  </si>
  <si>
    <t>パラペット立上り</t>
    <phoneticPr fontId="2"/>
  </si>
  <si>
    <t>深基礎A（40cmまで）</t>
    <phoneticPr fontId="2"/>
  </si>
  <si>
    <t>深基礎B（90cmまで）</t>
    <phoneticPr fontId="2"/>
  </si>
  <si>
    <t>勝手口ｾｯﾄ</t>
    <phoneticPr fontId="2"/>
  </si>
  <si>
    <t>建具追加（リビングドア）</t>
    <phoneticPr fontId="2"/>
  </si>
  <si>
    <t>建具追加（3尺巾）</t>
    <phoneticPr fontId="2"/>
  </si>
  <si>
    <t>建具追加（6尺巾）</t>
    <phoneticPr fontId="2"/>
  </si>
  <si>
    <t>フロアタイル追加（9㎡超え）</t>
    <phoneticPr fontId="2"/>
  </si>
  <si>
    <t>外壁出隅（14カ所超）</t>
    <phoneticPr fontId="2"/>
  </si>
  <si>
    <t>(屋根、野地板、軒天　大工手間、材木  9000+2000+3500+3000</t>
    <rPh sb="8" eb="10">
      <t>ノキテン</t>
    </rPh>
    <phoneticPr fontId="2"/>
  </si>
  <si>
    <t>（EXﾊｲﾊ 外壁 材木 布基礎 笠木(2000*2)+(5500*5)+(5000)+10000+6000</t>
    <rPh sb="7" eb="8">
      <t>ガイヘキ</t>
    </rPh>
    <rPh sb="8" eb="9">
      <t>　</t>
    </rPh>
    <rPh sb="10" eb="11">
      <t>ザイモク</t>
    </rPh>
    <rPh sb="11" eb="12">
      <t>　</t>
    </rPh>
    <rPh sb="13" eb="15">
      <t>キソ</t>
    </rPh>
    <rPh sb="15" eb="16">
      <t>　</t>
    </rPh>
    <rPh sb="17" eb="19">
      <t>カサギヲ</t>
    </rPh>
    <phoneticPr fontId="2"/>
  </si>
  <si>
    <t>M</t>
    <phoneticPr fontId="2"/>
  </si>
  <si>
    <t>m</t>
    <phoneticPr fontId="2"/>
  </si>
  <si>
    <t>P</t>
    <phoneticPr fontId="2"/>
  </si>
  <si>
    <t>（①　②　③　④　の　合　計）　</t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</si>
  <si>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③　の　合　計　）　</t>
    </r>
    <phoneticPr fontId="2"/>
  </si>
  <si>
    <t>　　　　千円以下切り捨て</t>
    <rPh sb="4" eb="6">
      <t>センエン</t>
    </rPh>
    <rPh sb="6" eb="8">
      <t>イカ</t>
    </rPh>
    <rPh sb="8" eb="9">
      <t>キ</t>
    </rPh>
    <rPh sb="10" eb="11">
      <t>ス</t>
    </rPh>
    <phoneticPr fontId="32"/>
  </si>
  <si>
    <t>２階建て</t>
    <rPh sb="1" eb="3">
      <t>カイダ</t>
    </rPh>
    <phoneticPr fontId="2"/>
  </si>
  <si>
    <t>面積増減</t>
    <rPh sb="0" eb="2">
      <t>メンセキ</t>
    </rPh>
    <rPh sb="2" eb="4">
      <t>ゾウゲン</t>
    </rPh>
    <phoneticPr fontId="32"/>
  </si>
  <si>
    <t>下屋面積</t>
    <rPh sb="0" eb="2">
      <t>ゲヤ</t>
    </rPh>
    <rPh sb="2" eb="4">
      <t>メンセキ</t>
    </rPh>
    <phoneticPr fontId="32"/>
  </si>
  <si>
    <t>（基準坪数からの増減）</t>
    <rPh sb="1" eb="3">
      <t>キジュン</t>
    </rPh>
    <rPh sb="3" eb="4">
      <t>ツボ</t>
    </rPh>
    <rPh sb="4" eb="5">
      <t>スウ</t>
    </rPh>
    <rPh sb="8" eb="10">
      <t>ゾウゲン</t>
    </rPh>
    <phoneticPr fontId="32"/>
  </si>
  <si>
    <t>（１階床面積 - ２階床面積）</t>
    <rPh sb="2" eb="3">
      <t>カイ</t>
    </rPh>
    <rPh sb="3" eb="4">
      <t>ユカ</t>
    </rPh>
    <rPh sb="4" eb="6">
      <t>メンセキ</t>
    </rPh>
    <rPh sb="10" eb="12">
      <t>カイユカ</t>
    </rPh>
    <rPh sb="12" eb="14">
      <t>メンセキ</t>
    </rPh>
    <phoneticPr fontId="32"/>
  </si>
  <si>
    <t>　　建築面積（坪）</t>
    <rPh sb="2" eb="4">
      <t>ケンチク</t>
    </rPh>
    <rPh sb="4" eb="6">
      <t>メンセキ</t>
    </rPh>
    <rPh sb="7" eb="8">
      <t>ツボ</t>
    </rPh>
    <phoneticPr fontId="32"/>
  </si>
  <si>
    <t>PGH全棟共通　標準数量　</t>
    <rPh sb="3" eb="5">
      <t>ゼントウ</t>
    </rPh>
    <rPh sb="5" eb="7">
      <t>キョウツウ</t>
    </rPh>
    <rPh sb="8" eb="10">
      <t>ヒョウジュン</t>
    </rPh>
    <rPh sb="10" eb="12">
      <t>スウリョウ</t>
    </rPh>
    <phoneticPr fontId="2"/>
  </si>
  <si>
    <r>
      <rPr>
        <b/>
        <sz val="10"/>
        <color rgb="FFFF0000"/>
        <rFont val="游ゴシック"/>
        <family val="3"/>
        <charset val="128"/>
        <scheme val="minor"/>
      </rPr>
      <t>←</t>
    </r>
    <r>
      <rPr>
        <sz val="10"/>
        <color rgb="FFFF0000"/>
        <rFont val="游ゴシック"/>
        <family val="3"/>
        <charset val="128"/>
        <scheme val="minor"/>
      </rPr>
      <t>売価（利益率30％）</t>
    </r>
    <rPh sb="1" eb="3">
      <t>バイカ</t>
    </rPh>
    <rPh sb="4" eb="7">
      <t>リエキリツ</t>
    </rPh>
    <phoneticPr fontId="2"/>
  </si>
  <si>
    <t>電気工事　　</t>
    <rPh sb="0" eb="4">
      <t>デンキコウジ</t>
    </rPh>
    <phoneticPr fontId="2"/>
  </si>
  <si>
    <t>電気工事</t>
    <rPh sb="0" eb="2">
      <t>デンキ</t>
    </rPh>
    <rPh sb="2" eb="4">
      <t>コウジ</t>
    </rPh>
    <phoneticPr fontId="2"/>
  </si>
  <si>
    <t>ベーシアシャワートイレ</t>
    <phoneticPr fontId="2"/>
  </si>
  <si>
    <t>組</t>
    <rPh sb="0" eb="1">
      <t>クミ</t>
    </rPh>
    <phoneticPr fontId="2"/>
  </si>
  <si>
    <t>室内物干しユニットAirBar（ナスタ）:天井取付1200</t>
    <phoneticPr fontId="2"/>
  </si>
  <si>
    <t>室内物干しユニットAirBar（ナスタ）:天井取付2200</t>
    <phoneticPr fontId="2"/>
  </si>
  <si>
    <t>屋外　壁付け物干　　（川口技研）</t>
    <rPh sb="0" eb="2">
      <t>オクガイ</t>
    </rPh>
    <rPh sb="3" eb="4">
      <t>カベ</t>
    </rPh>
    <rPh sb="4" eb="5">
      <t>ツ</t>
    </rPh>
    <rPh sb="6" eb="8">
      <t>モノホ</t>
    </rPh>
    <rPh sb="11" eb="15">
      <t>カワグチギケン</t>
    </rPh>
    <phoneticPr fontId="2"/>
  </si>
  <si>
    <t>ホスクリーンSPC型（物干し竿別途）</t>
    <rPh sb="9" eb="10">
      <t>ガタ</t>
    </rPh>
    <rPh sb="11" eb="13">
      <t>モノホ</t>
    </rPh>
    <rPh sb="14" eb="15">
      <t>サオ</t>
    </rPh>
    <rPh sb="15" eb="17">
      <t>ベット</t>
    </rPh>
    <phoneticPr fontId="2"/>
  </si>
  <si>
    <t>サッシ追加（ポイント超過分）</t>
    <rPh sb="12" eb="13">
      <t>ブン</t>
    </rPh>
    <phoneticPr fontId="2"/>
  </si>
  <si>
    <t>積層材カウンター</t>
    <rPh sb="0" eb="3">
      <t>セキソウザイ</t>
    </rPh>
    <phoneticPr fontId="2"/>
  </si>
  <si>
    <t>外壁　破風鼻隠板</t>
    <rPh sb="3" eb="5">
      <t>ハフ</t>
    </rPh>
    <rPh sb="5" eb="6">
      <t>ハナ</t>
    </rPh>
    <rPh sb="6" eb="7">
      <t>カク</t>
    </rPh>
    <rPh sb="7" eb="8">
      <t>イタ</t>
    </rPh>
    <phoneticPr fontId="2"/>
  </si>
  <si>
    <t>軒天　t5ｍｍ木目調板</t>
    <rPh sb="0" eb="2">
      <t>ノキテン</t>
    </rPh>
    <rPh sb="7" eb="10">
      <t>モクメチョウ</t>
    </rPh>
    <rPh sb="10" eb="11">
      <t>イタ</t>
    </rPh>
    <phoneticPr fontId="2"/>
  </si>
  <si>
    <t>軒天　外壁材使用</t>
    <rPh sb="0" eb="2">
      <t>ノキテン</t>
    </rPh>
    <rPh sb="3" eb="5">
      <t>ガイヘキ</t>
    </rPh>
    <rPh sb="5" eb="6">
      <t>ザイ</t>
    </rPh>
    <rPh sb="6" eb="8">
      <t>シヨウ</t>
    </rPh>
    <phoneticPr fontId="2"/>
  </si>
  <si>
    <t>キッチン　サイドフード</t>
    <phoneticPr fontId="2"/>
  </si>
  <si>
    <t>UB　折れ戸→ドア変更</t>
    <rPh sb="3" eb="4">
      <t>オ</t>
    </rPh>
    <rPh sb="5" eb="6">
      <t>ド</t>
    </rPh>
    <rPh sb="9" eb="11">
      <t>ヘンコウ</t>
    </rPh>
    <phoneticPr fontId="2"/>
  </si>
  <si>
    <t>洗面化粧台EV　W1200に変更</t>
    <rPh sb="0" eb="2">
      <t>センメン</t>
    </rPh>
    <rPh sb="2" eb="5">
      <t>ケショウダイ</t>
    </rPh>
    <rPh sb="14" eb="16">
      <t>ヘンコウ</t>
    </rPh>
    <phoneticPr fontId="2"/>
  </si>
  <si>
    <t>洗面化粧台EV　W750・W900</t>
    <rPh sb="0" eb="2">
      <t>センメン</t>
    </rPh>
    <rPh sb="2" eb="5">
      <t>ケショウダイ</t>
    </rPh>
    <phoneticPr fontId="2"/>
  </si>
  <si>
    <t>平 屋</t>
    <rPh sb="0" eb="1">
      <t>ヒラ</t>
    </rPh>
    <rPh sb="2" eb="3">
      <t>ヤ</t>
    </rPh>
    <phoneticPr fontId="2"/>
  </si>
  <si>
    <t>2024.8.24</t>
    <phoneticPr fontId="2"/>
  </si>
  <si>
    <t>小数点第3位切り捨て</t>
    <rPh sb="0" eb="3">
      <t>ショウスウテン</t>
    </rPh>
    <rPh sb="3" eb="4">
      <t>ダイ</t>
    </rPh>
    <rPh sb="5" eb="6">
      <t>イ</t>
    </rPh>
    <rPh sb="6" eb="7">
      <t>キ</t>
    </rPh>
    <rPh sb="8" eb="9">
      <t>ス</t>
    </rPh>
    <phoneticPr fontId="32"/>
  </si>
  <si>
    <t>小数点第2位切り捨て</t>
    <phoneticPr fontId="2"/>
  </si>
  <si>
    <t>柱表し仕上げ　</t>
    <rPh sb="0" eb="1">
      <t>ハシラ</t>
    </rPh>
    <rPh sb="1" eb="2">
      <t>アラワ</t>
    </rPh>
    <rPh sb="3" eb="5">
      <t>シア</t>
    </rPh>
    <phoneticPr fontId="2"/>
  </si>
  <si>
    <t>下り（上り）天井組　</t>
    <rPh sb="0" eb="1">
      <t>サ</t>
    </rPh>
    <rPh sb="3" eb="4">
      <t>アガ</t>
    </rPh>
    <rPh sb="6" eb="8">
      <t>テンジョウ</t>
    </rPh>
    <rPh sb="8" eb="9">
      <t>クミ</t>
    </rPh>
    <phoneticPr fontId="2"/>
  </si>
  <si>
    <t>勾配天井　折り上げ天井　</t>
    <rPh sb="0" eb="2">
      <t>コウバイ</t>
    </rPh>
    <rPh sb="2" eb="4">
      <t>テンジョウ</t>
    </rPh>
    <rPh sb="5" eb="6">
      <t>オ</t>
    </rPh>
    <rPh sb="7" eb="8">
      <t>ア</t>
    </rPh>
    <rPh sb="9" eb="11">
      <t>テンジョウ</t>
    </rPh>
    <phoneticPr fontId="2"/>
  </si>
  <si>
    <r>
      <t>　　　　　標準工事の合計　　</t>
    </r>
    <r>
      <rPr>
        <sz val="9"/>
        <rFont val="ＭＳ Ｐゴシック"/>
        <family val="3"/>
        <charset val="128"/>
      </rPr>
      <t>（　①　②　の　合　計　）　</t>
    </r>
    <phoneticPr fontId="2"/>
  </si>
  <si>
    <t>（①　②　③　の　合　計）　</t>
    <phoneticPr fontId="2"/>
  </si>
  <si>
    <t>3尺可動棚追加</t>
    <phoneticPr fontId="2"/>
  </si>
  <si>
    <t>6尺可動棚追加</t>
    <phoneticPr fontId="2"/>
  </si>
  <si>
    <t>ヵ所</t>
    <rPh sb="1" eb="2">
      <t>ショ</t>
    </rPh>
    <phoneticPr fontId="2"/>
  </si>
  <si>
    <t>2世帯住宅は必ずコレある！火災報知器2,700*４個、分電盤30000、2台目のエコキュート配線19,600</t>
    <phoneticPr fontId="2"/>
  </si>
  <si>
    <t>二世帯住宅基本工事費（2世帯分火報・分電盤・給湯配線）</t>
    <phoneticPr fontId="2"/>
  </si>
  <si>
    <t>二世帯住宅　２系統受電契約仕様　※開閉器含む</t>
    <rPh sb="0" eb="3">
      <t>ニセタイ</t>
    </rPh>
    <rPh sb="3" eb="5">
      <t>ジュウタク</t>
    </rPh>
    <rPh sb="7" eb="9">
      <t>ケイトウ</t>
    </rPh>
    <rPh sb="9" eb="11">
      <t>ジュデン</t>
    </rPh>
    <rPh sb="11" eb="13">
      <t>ケイヤク</t>
    </rPh>
    <rPh sb="13" eb="15">
      <t>シヨウ</t>
    </rPh>
    <rPh sb="17" eb="20">
      <t>カイヘイキ</t>
    </rPh>
    <rPh sb="20" eb="21">
      <t>フク</t>
    </rPh>
    <phoneticPr fontId="2"/>
  </si>
  <si>
    <t>中電との受電契約を世帯ごとにする場合コレ！　２系統工事費40,000＋引込（開閉器)16,000</t>
    <phoneticPr fontId="2"/>
  </si>
  <si>
    <t>標準１台</t>
    <rPh sb="0" eb="2">
      <t>ヒョウジュン</t>
    </rPh>
    <rPh sb="3" eb="4">
      <t>ダイ</t>
    </rPh>
    <phoneticPr fontId="2"/>
  </si>
  <si>
    <t>標準8台</t>
    <rPh sb="0" eb="2">
      <t>ヒョウジュン</t>
    </rPh>
    <rPh sb="3" eb="4">
      <t>ダイ</t>
    </rPh>
    <phoneticPr fontId="2"/>
  </si>
  <si>
    <t>標準18ポイント　　0.825㎡以下1ﾎﾟｲﾝﾄ　それを超えると２ﾎﾟｲﾝﾄ　　９尺巾サッシは3ﾎﾟｲﾝﾄとする</t>
    <rPh sb="0" eb="2">
      <t>ヒョウジュン</t>
    </rPh>
    <rPh sb="16" eb="18">
      <t>イカ</t>
    </rPh>
    <rPh sb="28" eb="29">
      <t>コ</t>
    </rPh>
    <rPh sb="41" eb="42">
      <t>シャク</t>
    </rPh>
    <rPh sb="42" eb="43">
      <t>ハバ</t>
    </rPh>
    <phoneticPr fontId="2"/>
  </si>
  <si>
    <t>オプション工事</t>
    <rPh sb="5" eb="7">
      <t>コウジ</t>
    </rPh>
    <phoneticPr fontId="2"/>
  </si>
  <si>
    <t>伊藤　友章</t>
    <rPh sb="0" eb="2">
      <t>イトウ</t>
    </rPh>
    <rPh sb="3" eb="5">
      <t>トモアキ</t>
    </rPh>
    <phoneticPr fontId="2"/>
  </si>
  <si>
    <t>静岡県掛川市宮脇字五輪田1059番2、9／1060番17</t>
    <rPh sb="0" eb="3">
      <t>シズオカケン</t>
    </rPh>
    <rPh sb="3" eb="6">
      <t>カケガワシ</t>
    </rPh>
    <rPh sb="6" eb="8">
      <t>ミヤワキ</t>
    </rPh>
    <rPh sb="8" eb="9">
      <t>アザ</t>
    </rPh>
    <rPh sb="9" eb="11">
      <t>ゴリン</t>
    </rPh>
    <rPh sb="11" eb="12">
      <t>タ</t>
    </rPh>
    <rPh sb="16" eb="17">
      <t>バン</t>
    </rPh>
    <rPh sb="25" eb="26">
      <t>バン</t>
    </rPh>
    <phoneticPr fontId="2"/>
  </si>
  <si>
    <t>円</t>
    <rPh sb="0" eb="1">
      <t>エン</t>
    </rPh>
    <phoneticPr fontId="2"/>
  </si>
  <si>
    <t>円/㎡</t>
    <rPh sb="0" eb="1">
      <t>エン</t>
    </rPh>
    <phoneticPr fontId="2"/>
  </si>
  <si>
    <t>積層材カウンター、棚類（１ヵ所1.0㎡以下の棚）</t>
    <rPh sb="0" eb="3">
      <t>セキソウザイ</t>
    </rPh>
    <rPh sb="9" eb="11">
      <t>タナルイ</t>
    </rPh>
    <rPh sb="14" eb="15">
      <t>ショ</t>
    </rPh>
    <rPh sb="19" eb="21">
      <t>イカ</t>
    </rPh>
    <rPh sb="22" eb="23">
      <t>タナ</t>
    </rPh>
    <phoneticPr fontId="2"/>
  </si>
  <si>
    <t>6尺枕棚＋ハンガーパイプ</t>
    <rPh sb="1" eb="2">
      <t>シャク</t>
    </rPh>
    <rPh sb="2" eb="4">
      <t>マクラタナ</t>
    </rPh>
    <phoneticPr fontId="2"/>
  </si>
  <si>
    <t>オプション工事予算</t>
    <rPh sb="5" eb="7">
      <t>コウジ</t>
    </rPh>
    <rPh sb="7" eb="9">
      <t>ヨサン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</si>
</sst>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¥&quot;#,##0;[Red]&quot;¥&quot;\-#,##0"/>
    <numFmt numFmtId="176" formatCode="#,##0_ "/>
    <numFmt numFmtId="177" formatCode="#,##0_);[Red]\(#,##0\)"/>
    <numFmt numFmtId="178" formatCode="0.0%"/>
    <numFmt numFmtId="179" formatCode="0_ "/>
    <numFmt numFmtId="180" formatCode="#,###&quot;円&quot;"/>
    <numFmt numFmtId="181" formatCode="#,##0;[Red]#,##0"/>
    <numFmt numFmtId="182" formatCode="#,##0;&quot;▲ &quot;#,##0"/>
    <numFmt numFmtId="183" formatCode="#,###"/>
    <numFmt numFmtId="184" formatCode="#,##0.0;[Red]\-#,##0.0"/>
    <numFmt numFmtId="185" formatCode="#,##0_ ;[Red]\-#,##0\ "/>
    <numFmt numFmtId="186" formatCode="0.0_ "/>
    <numFmt numFmtId="187" formatCode="0.00_ "/>
  </numFmts>
  <fonts count="46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2"/>
      <color rgb="FFFF0000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4"/>
      <color theme="1"/>
      <name val="游ゴシック"/>
      <family val="2"/>
      <charset val="128"/>
      <scheme val="minor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游ゴシック"/>
      <family val="2"/>
      <charset val="128"/>
      <scheme val="minor"/>
    </font>
    <font>
      <b/>
      <sz val="12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4"/>
      <name val="游ゴシック"/>
      <family val="2"/>
      <charset val="128"/>
      <scheme val="minor"/>
    </font>
    <font>
      <b/>
      <sz val="8"/>
      <name val="ＭＳ Ｐゴシック"/>
      <family val="3"/>
      <charset val="128"/>
    </font>
    <font>
      <b/>
      <sz val="12"/>
      <color rgb="FFFF0000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gray0625"/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rgb="FFFF0000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6" fontId="9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5" xfId="0" applyFont="1" applyBorder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 shrinkToFit="1"/>
      <protection locked="0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11" fillId="0" borderId="12" xfId="0" applyNumberFormat="1" applyFont="1" applyBorder="1" applyAlignment="1">
      <alignment horizontal="right" vertical="center" inden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Protection="1">
      <alignment vertical="center"/>
      <protection locked="0"/>
    </xf>
    <xf numFmtId="0" fontId="11" fillId="0" borderId="10" xfId="0" applyFont="1" applyBorder="1" applyAlignment="1">
      <alignment horizontal="right" vertical="center" indent="1"/>
    </xf>
    <xf numFmtId="176" fontId="11" fillId="0" borderId="11" xfId="0" applyNumberFormat="1" applyFont="1" applyBorder="1" applyAlignment="1">
      <alignment horizontal="right" vertical="center" indent="1"/>
    </xf>
    <xf numFmtId="176" fontId="11" fillId="0" borderId="10" xfId="0" applyNumberFormat="1" applyFont="1" applyBorder="1" applyAlignment="1">
      <alignment horizontal="right" vertical="center" indent="1"/>
    </xf>
    <xf numFmtId="0" fontId="10" fillId="0" borderId="9" xfId="0" applyFont="1" applyBorder="1" applyAlignment="1">
      <alignment vertical="center" shrinkToFit="1"/>
    </xf>
    <xf numFmtId="178" fontId="11" fillId="0" borderId="12" xfId="0" applyNumberFormat="1" applyFont="1" applyBorder="1" applyAlignment="1">
      <alignment horizontal="center" vertical="center"/>
    </xf>
    <xf numFmtId="0" fontId="0" fillId="0" borderId="12" xfId="0" applyBorder="1" applyProtection="1">
      <alignment vertical="center"/>
      <protection locked="0"/>
    </xf>
    <xf numFmtId="176" fontId="0" fillId="0" borderId="12" xfId="0" applyNumberFormat="1" applyBorder="1" applyProtection="1">
      <alignment vertical="center"/>
      <protection locked="0"/>
    </xf>
    <xf numFmtId="177" fontId="0" fillId="0" borderId="12" xfId="0" applyNumberFormat="1" applyBorder="1" applyProtection="1">
      <alignment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176" fontId="0" fillId="0" borderId="0" xfId="0" applyNumberFormat="1">
      <alignment vertical="center"/>
    </xf>
    <xf numFmtId="180" fontId="11" fillId="0" borderId="1" xfId="0" applyNumberFormat="1" applyFont="1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 indent="1"/>
    </xf>
    <xf numFmtId="176" fontId="0" fillId="0" borderId="4" xfId="0" applyNumberFormat="1" applyBorder="1" applyAlignment="1">
      <alignment horizontal="right" vertical="center" indent="1"/>
    </xf>
    <xf numFmtId="177" fontId="0" fillId="0" borderId="12" xfId="0" applyNumberFormat="1" applyBorder="1">
      <alignment vertical="center"/>
    </xf>
    <xf numFmtId="178" fontId="0" fillId="0" borderId="12" xfId="0" applyNumberForma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 shrinkToFit="1"/>
      <protection locked="0"/>
    </xf>
    <xf numFmtId="176" fontId="21" fillId="0" borderId="0" xfId="0" applyNumberFormat="1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horizontal="left" vertical="center" shrinkToFit="1"/>
      <protection locked="0"/>
    </xf>
    <xf numFmtId="0" fontId="21" fillId="0" borderId="0" xfId="0" applyFont="1" applyAlignment="1" applyProtection="1">
      <alignment vertical="center" shrinkToFit="1"/>
      <protection locked="0"/>
    </xf>
    <xf numFmtId="0" fontId="22" fillId="0" borderId="0" xfId="0" applyFont="1" applyAlignment="1" applyProtection="1">
      <alignment vertical="center" shrinkToFit="1"/>
      <protection locked="0"/>
    </xf>
    <xf numFmtId="0" fontId="0" fillId="0" borderId="12" xfId="0" applyBorder="1" applyAlignment="1" applyProtection="1">
      <alignment vertical="center" shrinkToFit="1"/>
      <protection locked="0"/>
    </xf>
    <xf numFmtId="0" fontId="0" fillId="0" borderId="13" xfId="0" applyBorder="1" applyAlignment="1" applyProtection="1">
      <alignment vertical="center" shrinkToFit="1"/>
      <protection locked="0"/>
    </xf>
    <xf numFmtId="0" fontId="17" fillId="0" borderId="12" xfId="0" applyFont="1" applyBorder="1" applyAlignment="1" applyProtection="1">
      <alignment vertical="center" shrinkToFit="1"/>
      <protection locked="0"/>
    </xf>
    <xf numFmtId="0" fontId="15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38" fontId="0" fillId="0" borderId="12" xfId="0" applyNumberFormat="1" applyBorder="1" applyProtection="1">
      <alignment vertical="center"/>
      <protection locked="0"/>
    </xf>
    <xf numFmtId="0" fontId="27" fillId="0" borderId="0" xfId="0" applyFont="1" applyAlignment="1"/>
    <xf numFmtId="183" fontId="27" fillId="0" borderId="0" xfId="0" applyNumberFormat="1" applyFont="1" applyAlignment="1">
      <alignment shrinkToFit="1"/>
    </xf>
    <xf numFmtId="0" fontId="10" fillId="3" borderId="9" xfId="0" applyFont="1" applyFill="1" applyBorder="1" applyAlignment="1">
      <alignment vertical="center" shrinkToFit="1"/>
    </xf>
    <xf numFmtId="176" fontId="11" fillId="3" borderId="10" xfId="0" applyNumberFormat="1" applyFont="1" applyFill="1" applyBorder="1" applyAlignment="1">
      <alignment horizontal="right" vertical="center" indent="1"/>
    </xf>
    <xf numFmtId="0" fontId="3" fillId="3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 indent="1"/>
    </xf>
    <xf numFmtId="176" fontId="11" fillId="3" borderId="11" xfId="0" applyNumberFormat="1" applyFont="1" applyFill="1" applyBorder="1" applyAlignment="1">
      <alignment horizontal="right" vertical="center" indent="1"/>
    </xf>
    <xf numFmtId="0" fontId="10" fillId="10" borderId="9" xfId="0" applyFont="1" applyFill="1" applyBorder="1" applyAlignment="1">
      <alignment vertical="center" shrinkToFit="1"/>
    </xf>
    <xf numFmtId="176" fontId="11" fillId="10" borderId="10" xfId="0" applyNumberFormat="1" applyFont="1" applyFill="1" applyBorder="1" applyAlignment="1">
      <alignment horizontal="right" vertical="center" indent="1"/>
    </xf>
    <xf numFmtId="0" fontId="3" fillId="10" borderId="10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right" vertical="center" indent="1"/>
    </xf>
    <xf numFmtId="176" fontId="11" fillId="10" borderId="11" xfId="0" applyNumberFormat="1" applyFont="1" applyFill="1" applyBorder="1" applyAlignment="1">
      <alignment horizontal="right" vertical="center" indent="1"/>
    </xf>
    <xf numFmtId="0" fontId="10" fillId="3" borderId="28" xfId="0" applyFont="1" applyFill="1" applyBorder="1" applyAlignment="1">
      <alignment vertical="center" shrinkToFit="1"/>
    </xf>
    <xf numFmtId="176" fontId="11" fillId="3" borderId="29" xfId="0" applyNumberFormat="1" applyFont="1" applyFill="1" applyBorder="1" applyAlignment="1">
      <alignment horizontal="right" vertical="center" indent="1"/>
    </xf>
    <xf numFmtId="0" fontId="3" fillId="3" borderId="29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right" vertical="center" indent="1"/>
    </xf>
    <xf numFmtId="176" fontId="11" fillId="3" borderId="30" xfId="0" applyNumberFormat="1" applyFont="1" applyFill="1" applyBorder="1" applyAlignment="1">
      <alignment horizontal="right" vertical="center" indent="1"/>
    </xf>
    <xf numFmtId="176" fontId="11" fillId="0" borderId="14" xfId="0" applyNumberFormat="1" applyFont="1" applyBorder="1" applyAlignment="1">
      <alignment horizontal="right" vertical="center" indent="1"/>
    </xf>
    <xf numFmtId="178" fontId="11" fillId="0" borderId="14" xfId="0" applyNumberFormat="1" applyFont="1" applyBorder="1" applyAlignment="1">
      <alignment horizontal="center" vertical="center"/>
    </xf>
    <xf numFmtId="0" fontId="10" fillId="10" borderId="31" xfId="0" applyFont="1" applyFill="1" applyBorder="1" applyAlignment="1">
      <alignment vertical="center" shrinkToFit="1"/>
    </xf>
    <xf numFmtId="176" fontId="11" fillId="10" borderId="32" xfId="0" applyNumberFormat="1" applyFont="1" applyFill="1" applyBorder="1" applyAlignment="1">
      <alignment horizontal="right" vertical="center" indent="1"/>
    </xf>
    <xf numFmtId="0" fontId="3" fillId="10" borderId="32" xfId="0" applyFont="1" applyFill="1" applyBorder="1" applyAlignment="1">
      <alignment horizontal="center" vertical="center"/>
    </xf>
    <xf numFmtId="0" fontId="11" fillId="10" borderId="32" xfId="0" applyFont="1" applyFill="1" applyBorder="1" applyAlignment="1">
      <alignment horizontal="right" vertical="center" indent="1"/>
    </xf>
    <xf numFmtId="176" fontId="11" fillId="10" borderId="33" xfId="0" applyNumberFormat="1" applyFont="1" applyFill="1" applyBorder="1" applyAlignment="1">
      <alignment horizontal="right" vertical="center" indent="1"/>
    </xf>
    <xf numFmtId="0" fontId="0" fillId="4" borderId="34" xfId="0" applyFill="1" applyBorder="1">
      <alignment vertical="center"/>
    </xf>
    <xf numFmtId="0" fontId="6" fillId="0" borderId="34" xfId="0" applyFont="1" applyBorder="1">
      <alignment vertical="center"/>
    </xf>
    <xf numFmtId="176" fontId="11" fillId="0" borderId="35" xfId="0" applyNumberFormat="1" applyFont="1" applyBorder="1" applyAlignment="1">
      <alignment horizontal="right" vertical="center" indent="1"/>
    </xf>
    <xf numFmtId="178" fontId="11" fillId="0" borderId="35" xfId="0" applyNumberFormat="1" applyFont="1" applyBorder="1" applyAlignment="1">
      <alignment horizontal="center" vertical="center"/>
    </xf>
    <xf numFmtId="0" fontId="0" fillId="0" borderId="34" xfId="0" applyBorder="1">
      <alignment vertical="center"/>
    </xf>
    <xf numFmtId="0" fontId="27" fillId="0" borderId="1" xfId="0" applyFont="1" applyBorder="1" applyAlignment="1"/>
    <xf numFmtId="0" fontId="27" fillId="0" borderId="1" xfId="0" applyFont="1" applyBorder="1">
      <alignment vertical="center"/>
    </xf>
    <xf numFmtId="0" fontId="27" fillId="9" borderId="0" xfId="0" applyFont="1" applyFill="1" applyAlignment="1"/>
    <xf numFmtId="0" fontId="39" fillId="0" borderId="0" xfId="0" applyFont="1" applyAlignment="1">
      <alignment shrinkToFit="1"/>
    </xf>
    <xf numFmtId="0" fontId="38" fillId="0" borderId="14" xfId="0" applyFont="1" applyBorder="1" applyAlignment="1">
      <alignment shrinkToFit="1"/>
    </xf>
    <xf numFmtId="186" fontId="31" fillId="0" borderId="12" xfId="0" applyNumberFormat="1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 shrinkToFit="1"/>
    </xf>
    <xf numFmtId="0" fontId="38" fillId="0" borderId="13" xfId="0" applyFont="1" applyBorder="1" applyAlignment="1">
      <alignment shrinkToFit="1"/>
    </xf>
    <xf numFmtId="0" fontId="3" fillId="0" borderId="0" xfId="0" applyFont="1">
      <alignment vertical="center"/>
    </xf>
    <xf numFmtId="0" fontId="27" fillId="0" borderId="0" xfId="0" applyFont="1" applyAlignment="1">
      <alignment horizontal="center"/>
    </xf>
    <xf numFmtId="179" fontId="31" fillId="0" borderId="12" xfId="0" applyNumberFormat="1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176" fontId="37" fillId="0" borderId="0" xfId="0" applyNumberFormat="1" applyFont="1" applyAlignment="1">
      <alignment horizontal="right" vertical="top"/>
    </xf>
    <xf numFmtId="38" fontId="31" fillId="0" borderId="12" xfId="3" applyFont="1" applyBorder="1" applyAlignment="1" applyProtection="1">
      <alignment vertical="center" shrinkToFit="1"/>
    </xf>
    <xf numFmtId="0" fontId="29" fillId="0" borderId="0" xfId="0" applyFont="1" applyAlignment="1"/>
    <xf numFmtId="0" fontId="37" fillId="0" borderId="0" xfId="0" applyFont="1" applyAlignment="1">
      <alignment vertical="top" wrapText="1" shrinkToFit="1"/>
    </xf>
    <xf numFmtId="0" fontId="44" fillId="0" borderId="0" xfId="0" applyFont="1" applyAlignment="1"/>
    <xf numFmtId="49" fontId="37" fillId="0" borderId="0" xfId="0" applyNumberFormat="1" applyFont="1" applyAlignment="1">
      <alignment vertical="top" wrapText="1" shrinkToFit="1"/>
    </xf>
    <xf numFmtId="0" fontId="36" fillId="0" borderId="0" xfId="0" applyFont="1" applyAlignment="1">
      <alignment vertical="top"/>
    </xf>
    <xf numFmtId="176" fontId="28" fillId="0" borderId="0" xfId="0" applyNumberFormat="1" applyFont="1" applyAlignment="1">
      <alignment horizontal="right" vertical="top"/>
    </xf>
    <xf numFmtId="0" fontId="34" fillId="0" borderId="0" xfId="0" applyFont="1" applyAlignment="1">
      <alignment vertical="top" wrapText="1" shrinkToFit="1"/>
    </xf>
    <xf numFmtId="176" fontId="31" fillId="0" borderId="1" xfId="0" applyNumberFormat="1" applyFont="1" applyBorder="1" applyAlignment="1"/>
    <xf numFmtId="183" fontId="42" fillId="0" borderId="12" xfId="0" applyNumberFormat="1" applyFont="1" applyBorder="1" applyAlignment="1">
      <alignment horizontal="center" vertical="center"/>
    </xf>
    <xf numFmtId="183" fontId="25" fillId="0" borderId="12" xfId="0" applyNumberFormat="1" applyFont="1" applyBorder="1" applyAlignment="1">
      <alignment vertical="center" shrinkToFit="1"/>
    </xf>
    <xf numFmtId="183" fontId="25" fillId="0" borderId="12" xfId="0" applyNumberFormat="1" applyFont="1" applyBorder="1" applyAlignment="1">
      <alignment horizontal="center" vertical="center" shrinkToFit="1"/>
    </xf>
    <xf numFmtId="183" fontId="25" fillId="0" borderId="12" xfId="0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1" xfId="0" applyFont="1" applyBorder="1" applyAlignment="1"/>
    <xf numFmtId="0" fontId="33" fillId="0" borderId="37" xfId="0" applyFont="1" applyBorder="1" applyAlignment="1"/>
    <xf numFmtId="0" fontId="33" fillId="0" borderId="0" xfId="0" applyFont="1" applyAlignment="1"/>
    <xf numFmtId="0" fontId="27" fillId="0" borderId="12" xfId="0" applyFont="1" applyBorder="1" applyAlignment="1">
      <alignment horizontal="center" vertical="center"/>
    </xf>
    <xf numFmtId="0" fontId="13" fillId="0" borderId="0" xfId="0" applyFont="1" applyAlignment="1"/>
    <xf numFmtId="0" fontId="27" fillId="0" borderId="0" xfId="0" applyFont="1" applyAlignment="1">
      <alignment horizontal="center" vertical="center"/>
    </xf>
    <xf numFmtId="49" fontId="13" fillId="0" borderId="0" xfId="0" applyNumberFormat="1" applyFont="1" applyAlignment="1"/>
    <xf numFmtId="0" fontId="33" fillId="0" borderId="0" xfId="0" applyFont="1">
      <alignment vertical="center"/>
    </xf>
    <xf numFmtId="0" fontId="25" fillId="0" borderId="7" xfId="0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3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1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4" fillId="0" borderId="7" xfId="0" applyFont="1" applyBorder="1">
      <alignment vertical="center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2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19" xfId="0" applyBorder="1" applyAlignment="1">
      <alignment vertical="center" shrinkToFit="1"/>
    </xf>
    <xf numFmtId="0" fontId="0" fillId="6" borderId="41" xfId="0" applyFill="1" applyBorder="1" applyAlignment="1">
      <alignment vertical="center" shrinkToFit="1"/>
    </xf>
    <xf numFmtId="0" fontId="0" fillId="6" borderId="42" xfId="0" applyFill="1" applyBorder="1" applyAlignment="1">
      <alignment vertical="center" shrinkToFit="1"/>
    </xf>
    <xf numFmtId="0" fontId="0" fillId="6" borderId="12" xfId="0" applyFill="1" applyBorder="1" applyAlignment="1">
      <alignment vertical="center" shrinkToFit="1"/>
    </xf>
    <xf numFmtId="0" fontId="0" fillId="6" borderId="43" xfId="0" applyFill="1" applyBorder="1" applyAlignment="1">
      <alignment vertical="center" shrinkToFit="1"/>
    </xf>
    <xf numFmtId="0" fontId="0" fillId="0" borderId="20" xfId="0" applyBorder="1">
      <alignment vertical="center"/>
    </xf>
    <xf numFmtId="0" fontId="0" fillId="6" borderId="44" xfId="0" applyFill="1" applyBorder="1" applyAlignment="1">
      <alignment vertical="center" shrinkToFit="1"/>
    </xf>
    <xf numFmtId="0" fontId="0" fillId="6" borderId="45" xfId="0" applyFill="1" applyBorder="1" applyAlignment="1">
      <alignment vertical="center" shrinkToFit="1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9" fillId="0" borderId="0" xfId="0" applyFont="1" applyAlignment="1">
      <alignment vertical="center" shrinkToFit="1"/>
    </xf>
    <xf numFmtId="0" fontId="0" fillId="7" borderId="0" xfId="0" applyFill="1">
      <alignment vertical="center"/>
    </xf>
    <xf numFmtId="0" fontId="5" fillId="0" borderId="0" xfId="0" applyFont="1">
      <alignment vertical="center"/>
    </xf>
    <xf numFmtId="0" fontId="19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20" fillId="0" borderId="0" xfId="0" applyFont="1">
      <alignment vertical="center"/>
    </xf>
    <xf numFmtId="0" fontId="0" fillId="11" borderId="12" xfId="0" applyFill="1" applyBorder="1">
      <alignment vertical="center"/>
    </xf>
    <xf numFmtId="176" fontId="1" fillId="11" borderId="12" xfId="0" applyNumberFormat="1" applyFont="1" applyFill="1" applyBorder="1">
      <alignment vertical="center"/>
    </xf>
    <xf numFmtId="176" fontId="45" fillId="8" borderId="21" xfId="0" applyNumberFormat="1" applyFont="1" applyFill="1" applyBorder="1" applyAlignment="1">
      <alignment vertical="center" shrinkToFit="1"/>
    </xf>
    <xf numFmtId="184" fontId="31" fillId="0" borderId="12" xfId="3" applyNumberFormat="1" applyFont="1" applyBorder="1" applyAlignment="1" applyProtection="1">
      <alignment horizontal="left" vertical="center" indent="2"/>
    </xf>
    <xf numFmtId="177" fontId="19" fillId="0" borderId="12" xfId="0" applyNumberFormat="1" applyFont="1" applyBorder="1" applyProtection="1">
      <alignment vertical="center"/>
      <protection locked="0"/>
    </xf>
    <xf numFmtId="184" fontId="31" fillId="0" borderId="0" xfId="3" applyNumberFormat="1" applyFont="1" applyBorder="1" applyAlignment="1" applyProtection="1">
      <alignment horizontal="left" vertical="center" indent="2"/>
    </xf>
    <xf numFmtId="38" fontId="31" fillId="0" borderId="0" xfId="3" applyFont="1" applyBorder="1" applyAlignment="1" applyProtection="1">
      <alignment vertical="center" shrinkToFit="1"/>
    </xf>
    <xf numFmtId="0" fontId="25" fillId="0" borderId="0" xfId="0" applyFont="1" applyAlignment="1">
      <alignment horizontal="center"/>
    </xf>
    <xf numFmtId="187" fontId="33" fillId="0" borderId="1" xfId="0" applyNumberFormat="1" applyFont="1" applyBorder="1">
      <alignment vertical="center"/>
    </xf>
    <xf numFmtId="187" fontId="30" fillId="0" borderId="1" xfId="0" applyNumberFormat="1" applyFont="1" applyBorder="1">
      <alignment vertical="center"/>
    </xf>
    <xf numFmtId="0" fontId="41" fillId="0" borderId="0" xfId="0" applyFont="1" applyAlignment="1">
      <alignment horizontal="center"/>
    </xf>
    <xf numFmtId="0" fontId="9" fillId="0" borderId="0" xfId="0" applyFont="1" applyAlignment="1"/>
    <xf numFmtId="0" fontId="4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33" fillId="9" borderId="1" xfId="0" applyFont="1" applyFill="1" applyBorder="1" applyAlignment="1" applyProtection="1">
      <alignment horizontal="center" vertical="center"/>
      <protection locked="0"/>
    </xf>
    <xf numFmtId="0" fontId="30" fillId="9" borderId="1" xfId="0" applyFont="1" applyFill="1" applyBorder="1" applyAlignment="1" applyProtection="1">
      <alignment horizontal="center" vertical="center"/>
      <protection locked="0"/>
    </xf>
    <xf numFmtId="58" fontId="27" fillId="9" borderId="1" xfId="0" applyNumberFormat="1" applyFont="1" applyFill="1" applyBorder="1" applyAlignment="1" applyProtection="1">
      <alignment horizontal="center" shrinkToFit="1"/>
      <protection locked="0"/>
    </xf>
    <xf numFmtId="0" fontId="9" fillId="9" borderId="1" xfId="0" applyFont="1" applyFill="1" applyBorder="1" applyAlignment="1" applyProtection="1">
      <alignment horizontal="center" shrinkToFit="1"/>
      <protection locked="0"/>
    </xf>
    <xf numFmtId="0" fontId="27" fillId="9" borderId="16" xfId="0" applyFont="1" applyFill="1" applyBorder="1" applyAlignment="1" applyProtection="1">
      <alignment horizontal="center"/>
      <protection locked="0"/>
    </xf>
    <xf numFmtId="0" fontId="9" fillId="9" borderId="16" xfId="0" applyFont="1" applyFill="1" applyBorder="1" applyAlignment="1" applyProtection="1">
      <alignment horizontal="center"/>
      <protection locked="0"/>
    </xf>
    <xf numFmtId="0" fontId="29" fillId="0" borderId="0" xfId="0" applyFont="1" applyAlignment="1">
      <alignment horizontal="center"/>
    </xf>
    <xf numFmtId="0" fontId="29" fillId="0" borderId="0" xfId="0" applyFont="1" applyAlignment="1"/>
    <xf numFmtId="176" fontId="31" fillId="0" borderId="16" xfId="0" applyNumberFormat="1" applyFont="1" applyBorder="1" applyAlignment="1">
      <alignment horizontal="center"/>
    </xf>
    <xf numFmtId="187" fontId="33" fillId="9" borderId="12" xfId="0" applyNumberFormat="1" applyFont="1" applyFill="1" applyBorder="1" applyProtection="1">
      <alignment vertical="center"/>
      <protection locked="0"/>
    </xf>
    <xf numFmtId="187" fontId="30" fillId="9" borderId="12" xfId="0" applyNumberFormat="1" applyFont="1" applyFill="1" applyBorder="1" applyProtection="1">
      <alignment vertical="center"/>
      <protection locked="0"/>
    </xf>
    <xf numFmtId="0" fontId="37" fillId="0" borderId="16" xfId="0" applyFont="1" applyBorder="1" applyAlignment="1">
      <alignment horizontal="right" vertical="top" shrinkToFit="1"/>
    </xf>
    <xf numFmtId="0" fontId="3" fillId="0" borderId="1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176" fontId="27" fillId="0" borderId="1" xfId="0" applyNumberFormat="1" applyFont="1" applyBorder="1" applyAlignment="1"/>
    <xf numFmtId="176" fontId="0" fillId="0" borderId="1" xfId="0" applyNumberFormat="1" applyBorder="1" applyAlignment="1"/>
    <xf numFmtId="0" fontId="29" fillId="0" borderId="19" xfId="0" applyFont="1" applyBorder="1" applyAlignment="1"/>
    <xf numFmtId="185" fontId="31" fillId="0" borderId="5" xfId="3" applyNumberFormat="1" applyFont="1" applyBorder="1" applyProtection="1">
      <alignment vertical="center"/>
    </xf>
    <xf numFmtId="185" fontId="31" fillId="0" borderId="8" xfId="3" applyNumberFormat="1" applyFont="1" applyBorder="1" applyProtection="1">
      <alignment vertical="center"/>
    </xf>
    <xf numFmtId="0" fontId="31" fillId="0" borderId="17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176" fontId="31" fillId="0" borderId="5" xfId="0" applyNumberFormat="1" applyFont="1" applyBorder="1">
      <alignment vertical="center"/>
    </xf>
    <xf numFmtId="176" fontId="30" fillId="0" borderId="8" xfId="0" applyNumberFormat="1" applyFont="1" applyBorder="1">
      <alignment vertical="center"/>
    </xf>
    <xf numFmtId="183" fontId="25" fillId="0" borderId="5" xfId="0" applyNumberFormat="1" applyFont="1" applyBorder="1" applyAlignment="1">
      <alignment vertical="center" shrinkToFit="1"/>
    </xf>
    <xf numFmtId="0" fontId="25" fillId="0" borderId="17" xfId="0" applyFont="1" applyBorder="1" applyAlignment="1">
      <alignment vertical="center" shrinkToFit="1"/>
    </xf>
    <xf numFmtId="0" fontId="25" fillId="0" borderId="8" xfId="0" applyFont="1" applyBorder="1" applyAlignment="1">
      <alignment vertical="center" shrinkToFit="1"/>
    </xf>
    <xf numFmtId="183" fontId="31" fillId="0" borderId="5" xfId="0" applyNumberFormat="1" applyFont="1" applyBorder="1">
      <alignment vertical="center"/>
    </xf>
    <xf numFmtId="183" fontId="33" fillId="0" borderId="8" xfId="0" applyNumberFormat="1" applyFont="1" applyBorder="1">
      <alignment vertical="center"/>
    </xf>
    <xf numFmtId="176" fontId="31" fillId="0" borderId="1" xfId="0" applyNumberFormat="1" applyFont="1" applyBorder="1" applyAlignment="1">
      <alignment horizontal="center"/>
    </xf>
    <xf numFmtId="0" fontId="27" fillId="0" borderId="0" xfId="0" applyFont="1">
      <alignment vertical="center"/>
    </xf>
    <xf numFmtId="0" fontId="0" fillId="0" borderId="0" xfId="0">
      <alignment vertical="center"/>
    </xf>
    <xf numFmtId="0" fontId="29" fillId="0" borderId="0" xfId="0" applyFont="1" applyAlignment="1">
      <alignment horizontal="center" vertical="center"/>
    </xf>
    <xf numFmtId="0" fontId="29" fillId="0" borderId="27" xfId="0" applyFont="1" applyBorder="1">
      <alignment vertical="center"/>
    </xf>
    <xf numFmtId="177" fontId="31" fillId="0" borderId="26" xfId="0" applyNumberFormat="1" applyFont="1" applyBorder="1" applyAlignment="1">
      <alignment vertical="center" shrinkToFit="1"/>
    </xf>
    <xf numFmtId="177" fontId="0" fillId="0" borderId="25" xfId="0" applyNumberFormat="1" applyBorder="1" applyAlignment="1">
      <alignment vertical="center" shrinkToFit="1"/>
    </xf>
    <xf numFmtId="176" fontId="31" fillId="0" borderId="0" xfId="0" applyNumberFormat="1" applyFont="1" applyAlignment="1">
      <alignment horizontal="center"/>
    </xf>
    <xf numFmtId="0" fontId="27" fillId="0" borderId="1" xfId="0" applyFont="1" applyBorder="1" applyAlignment="1"/>
    <xf numFmtId="0" fontId="9" fillId="0" borderId="1" xfId="0" applyFont="1" applyBorder="1" applyAlignment="1"/>
    <xf numFmtId="183" fontId="27" fillId="0" borderId="5" xfId="0" applyNumberFormat="1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38" fontId="31" fillId="0" borderId="24" xfId="0" applyNumberFormat="1" applyFont="1" applyBorder="1">
      <alignment vertical="center"/>
    </xf>
    <xf numFmtId="0" fontId="30" fillId="0" borderId="23" xfId="0" applyFont="1" applyBorder="1">
      <alignment vertical="center"/>
    </xf>
    <xf numFmtId="0" fontId="27" fillId="0" borderId="37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>
      <alignment vertical="center"/>
    </xf>
    <xf numFmtId="0" fontId="0" fillId="0" borderId="46" xfId="0" applyBorder="1">
      <alignment vertical="center"/>
    </xf>
    <xf numFmtId="186" fontId="31" fillId="0" borderId="14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4" fillId="0" borderId="0" xfId="0" applyFont="1" applyAlignment="1">
      <alignment shrinkToFit="1"/>
    </xf>
    <xf numFmtId="0" fontId="0" fillId="0" borderId="0" xfId="0" applyAlignment="1"/>
    <xf numFmtId="0" fontId="28" fillId="0" borderId="36" xfId="0" applyFont="1" applyBorder="1" applyAlignment="1">
      <alignment horizontal="center" vertical="top"/>
    </xf>
    <xf numFmtId="0" fontId="0" fillId="0" borderId="36" xfId="0" applyBorder="1" applyAlignment="1">
      <alignment vertical="top"/>
    </xf>
    <xf numFmtId="0" fontId="27" fillId="0" borderId="19" xfId="0" applyFont="1" applyBorder="1" applyAlignment="1">
      <alignment horizontal="center"/>
    </xf>
    <xf numFmtId="181" fontId="31" fillId="0" borderId="5" xfId="0" applyNumberFormat="1" applyFont="1" applyBorder="1">
      <alignment vertical="center"/>
    </xf>
    <xf numFmtId="181" fontId="30" fillId="0" borderId="8" xfId="0" applyNumberFormat="1" applyFont="1" applyBorder="1">
      <alignment vertical="center"/>
    </xf>
    <xf numFmtId="0" fontId="31" fillId="0" borderId="0" xfId="0" applyFont="1" applyAlignment="1">
      <alignment horizontal="center"/>
    </xf>
    <xf numFmtId="0" fontId="31" fillId="0" borderId="0" xfId="0" applyFont="1" applyAlignment="1"/>
    <xf numFmtId="182" fontId="31" fillId="0" borderId="26" xfId="0" applyNumberFormat="1" applyFont="1" applyBorder="1">
      <alignment vertical="center"/>
    </xf>
    <xf numFmtId="182" fontId="35" fillId="0" borderId="25" xfId="0" applyNumberFormat="1" applyFont="1" applyBorder="1">
      <alignment vertical="center"/>
    </xf>
    <xf numFmtId="0" fontId="27" fillId="0" borderId="5" xfId="0" applyFont="1" applyBorder="1" applyAlignment="1">
      <alignment horizontal="center" vertical="center"/>
    </xf>
    <xf numFmtId="0" fontId="0" fillId="0" borderId="17" xfId="0" applyBorder="1">
      <alignment vertical="center"/>
    </xf>
    <xf numFmtId="176" fontId="31" fillId="0" borderId="17" xfId="0" applyNumberFormat="1" applyFont="1" applyBorder="1" applyAlignment="1">
      <alignment horizontal="center"/>
    </xf>
    <xf numFmtId="0" fontId="37" fillId="0" borderId="16" xfId="0" applyFont="1" applyBorder="1" applyAlignment="1">
      <alignment horizontal="right" vertical="top"/>
    </xf>
    <xf numFmtId="0" fontId="9" fillId="0" borderId="16" xfId="0" applyFont="1" applyBorder="1" applyAlignment="1">
      <alignment horizontal="right" vertical="top"/>
    </xf>
    <xf numFmtId="0" fontId="24" fillId="6" borderId="38" xfId="0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">
    <cellStyle name="桁区切り" xfId="3" builtinId="6"/>
    <cellStyle name="通貨 2" xfId="1" xr:uid="{3F5D178D-C645-48B3-B346-5BF3C826B68E}"/>
    <cellStyle name="通貨 2 2" xfId="2" xr:uid="{73BEA940-A829-4A79-8F98-19932873FFAC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9</xdr:col>
      <xdr:colOff>243433</xdr:colOff>
      <xdr:row>1</xdr:row>
      <xdr:rowOff>24598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02271B-9B3C-44EC-B00B-16C900231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315" y="14007"/>
          <a:ext cx="1472718" cy="353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28015</xdr:colOff>
      <xdr:row>0</xdr:row>
      <xdr:rowOff>14007</xdr:rowOff>
    </xdr:from>
    <xdr:to>
      <xdr:col>9</xdr:col>
      <xdr:colOff>243433</xdr:colOff>
      <xdr:row>1</xdr:row>
      <xdr:rowOff>24598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53F9E3-EF9D-3C79-BBE9-BE2B51A6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7482" y="14007"/>
          <a:ext cx="1476080" cy="353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216</xdr:row>
      <xdr:rowOff>0</xdr:rowOff>
    </xdr:from>
    <xdr:to>
      <xdr:col>3</xdr:col>
      <xdr:colOff>752475</xdr:colOff>
      <xdr:row>222</xdr:row>
      <xdr:rowOff>85725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F25C532-7C87-4689-A9DD-9E44F68928A5}"/>
            </a:ext>
          </a:extLst>
        </xdr:cNvPr>
        <xdr:cNvSpPr/>
      </xdr:nvSpPr>
      <xdr:spPr>
        <a:xfrm>
          <a:off x="1295400" y="49911000"/>
          <a:ext cx="3486150" cy="1514475"/>
        </a:xfrm>
        <a:prstGeom prst="round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全６ページ用意されているが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オプション項目が白紙の</a:t>
          </a:r>
          <a:endParaRPr kumimoji="1" lang="en-US" altLang="ja-JP" sz="1800" baseline="0">
            <a:solidFill>
              <a:schemeClr val="accent2">
                <a:lumMod val="75000"/>
              </a:schemeClr>
            </a:solidFill>
          </a:endParaRPr>
        </a:p>
        <a:p>
          <a:pPr algn="l"/>
          <a:r>
            <a:rPr kumimoji="1" lang="ja-JP" altLang="en-US" sz="1800" baseline="0">
              <a:solidFill>
                <a:schemeClr val="accent2">
                  <a:lumMod val="75000"/>
                </a:schemeClr>
              </a:solidFill>
            </a:rPr>
            <a:t>ページは提出しない事</a:t>
          </a:r>
          <a:endParaRPr kumimoji="1" lang="ja-JP" altLang="en-US" sz="1100">
            <a:solidFill>
              <a:schemeClr val="accent2">
                <a:lumMod val="75000"/>
              </a:schemeClr>
            </a:solidFill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1701893</xdr:colOff>
      <xdr:row>22</xdr:row>
      <xdr:rowOff>28016</xdr:rowOff>
    </xdr:from>
    <xdr:to>
      <xdr:col>2</xdr:col>
      <xdr:colOff>182095</xdr:colOff>
      <xdr:row>26</xdr:row>
      <xdr:rowOff>182096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D428DEB-6006-05B6-5FC3-ED030991BFA6}"/>
            </a:ext>
          </a:extLst>
        </xdr:cNvPr>
        <xdr:cNvSpPr/>
      </xdr:nvSpPr>
      <xdr:spPr>
        <a:xfrm>
          <a:off x="1701893" y="4804523"/>
          <a:ext cx="2157132" cy="102253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ここに表示されたオプションは合計されない</a:t>
          </a:r>
          <a:r>
            <a:rPr kumimoji="1" lang="en-US" altLang="ja-JP" sz="1100" b="1">
              <a:solidFill>
                <a:srgbClr val="FF0000"/>
              </a:solidFill>
            </a:rPr>
            <a:t>,</a:t>
          </a:r>
          <a:r>
            <a:rPr kumimoji="1" lang="ja-JP" altLang="en-US" sz="1100" b="1">
              <a:solidFill>
                <a:srgbClr val="FF0000"/>
              </a:solidFill>
            </a:rPr>
            <a:t>（</a:t>
          </a:r>
          <a:r>
            <a:rPr kumimoji="1" lang="en-US" altLang="ja-JP" sz="1100" b="1">
              <a:solidFill>
                <a:srgbClr val="FF0000"/>
              </a:solidFill>
            </a:rPr>
            <a:t>18</a:t>
          </a:r>
          <a:r>
            <a:rPr kumimoji="1" lang="ja-JP" altLang="en-US" sz="1100" b="1">
              <a:solidFill>
                <a:srgbClr val="FF0000"/>
              </a:solidFill>
            </a:rPr>
            <a:t>項目）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項目欄を減らす！！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906F-78AC-4740-BA5E-DBAFDFC8577C}">
  <sheetPr>
    <tabColor rgb="FFFF0000"/>
    <pageSetUpPr fitToPage="1"/>
  </sheetPr>
  <dimension ref="A1:K47"/>
  <sheetViews>
    <sheetView view="pageBreakPreview" zoomScale="136" zoomScaleNormal="100" zoomScaleSheetLayoutView="136" workbookViewId="0">
      <selection activeCell="M15" sqref="M15"/>
    </sheetView>
  </sheetViews>
  <sheetFormatPr defaultColWidth="8.19921875" defaultRowHeight="14.4"/>
  <cols>
    <col min="1" max="1" width="3.296875" style="51" customWidth="1"/>
    <col min="2" max="2" width="17" style="51" customWidth="1"/>
    <col min="3" max="3" width="10.59765625" style="51" customWidth="1"/>
    <col min="4" max="4" width="8.19921875" style="51"/>
    <col min="5" max="5" width="11.296875" style="51" customWidth="1"/>
    <col min="6" max="6" width="5.09765625" style="51" customWidth="1"/>
    <col min="7" max="7" width="5.69921875" style="51" customWidth="1"/>
    <col min="8" max="9" width="8.19921875" style="51"/>
    <col min="10" max="10" width="3.296875" style="51" customWidth="1"/>
    <col min="11" max="242" width="8.19921875" style="51"/>
    <col min="243" max="243" width="5.09765625" style="51" customWidth="1"/>
    <col min="244" max="244" width="3.296875" style="51" customWidth="1"/>
    <col min="245" max="245" width="18.796875" style="51" customWidth="1"/>
    <col min="246" max="246" width="11.296875" style="51" customWidth="1"/>
    <col min="247" max="247" width="8.19921875" style="51"/>
    <col min="248" max="248" width="10.59765625" style="51" customWidth="1"/>
    <col min="249" max="249" width="3.296875" style="51" customWidth="1"/>
    <col min="250" max="250" width="5.09765625" style="51" customWidth="1"/>
    <col min="251" max="252" width="8.19921875" style="51"/>
    <col min="253" max="254" width="3.296875" style="51" customWidth="1"/>
    <col min="255" max="255" width="8.5" style="51" bestFit="1" customWidth="1"/>
    <col min="256" max="256" width="9.09765625" style="51" bestFit="1" customWidth="1"/>
    <col min="257" max="498" width="8.19921875" style="51"/>
    <col min="499" max="499" width="5.09765625" style="51" customWidth="1"/>
    <col min="500" max="500" width="3.296875" style="51" customWidth="1"/>
    <col min="501" max="501" width="18.796875" style="51" customWidth="1"/>
    <col min="502" max="502" width="11.296875" style="51" customWidth="1"/>
    <col min="503" max="503" width="8.19921875" style="51"/>
    <col min="504" max="504" width="10.59765625" style="51" customWidth="1"/>
    <col min="505" max="505" width="3.296875" style="51" customWidth="1"/>
    <col min="506" max="506" width="5.09765625" style="51" customWidth="1"/>
    <col min="507" max="508" width="8.19921875" style="51"/>
    <col min="509" max="510" width="3.296875" style="51" customWidth="1"/>
    <col min="511" max="511" width="8.5" style="51" bestFit="1" customWidth="1"/>
    <col min="512" max="512" width="9.09765625" style="51" bestFit="1" customWidth="1"/>
    <col min="513" max="754" width="8.19921875" style="51"/>
    <col min="755" max="755" width="5.09765625" style="51" customWidth="1"/>
    <col min="756" max="756" width="3.296875" style="51" customWidth="1"/>
    <col min="757" max="757" width="18.796875" style="51" customWidth="1"/>
    <col min="758" max="758" width="11.296875" style="51" customWidth="1"/>
    <col min="759" max="759" width="8.19921875" style="51"/>
    <col min="760" max="760" width="10.59765625" style="51" customWidth="1"/>
    <col min="761" max="761" width="3.296875" style="51" customWidth="1"/>
    <col min="762" max="762" width="5.09765625" style="51" customWidth="1"/>
    <col min="763" max="764" width="8.19921875" style="51"/>
    <col min="765" max="766" width="3.296875" style="51" customWidth="1"/>
    <col min="767" max="767" width="8.5" style="51" bestFit="1" customWidth="1"/>
    <col min="768" max="768" width="9.09765625" style="51" bestFit="1" customWidth="1"/>
    <col min="769" max="1010" width="8.19921875" style="51"/>
    <col min="1011" max="1011" width="5.09765625" style="51" customWidth="1"/>
    <col min="1012" max="1012" width="3.296875" style="51" customWidth="1"/>
    <col min="1013" max="1013" width="18.796875" style="51" customWidth="1"/>
    <col min="1014" max="1014" width="11.296875" style="51" customWidth="1"/>
    <col min="1015" max="1015" width="8.19921875" style="51"/>
    <col min="1016" max="1016" width="10.59765625" style="51" customWidth="1"/>
    <col min="1017" max="1017" width="3.296875" style="51" customWidth="1"/>
    <col min="1018" max="1018" width="5.09765625" style="51" customWidth="1"/>
    <col min="1019" max="1020" width="8.19921875" style="51"/>
    <col min="1021" max="1022" width="3.296875" style="51" customWidth="1"/>
    <col min="1023" max="1023" width="8.5" style="51" bestFit="1" customWidth="1"/>
    <col min="1024" max="1024" width="9.09765625" style="51" bestFit="1" customWidth="1"/>
    <col min="1025" max="1266" width="8.19921875" style="51"/>
    <col min="1267" max="1267" width="5.09765625" style="51" customWidth="1"/>
    <col min="1268" max="1268" width="3.296875" style="51" customWidth="1"/>
    <col min="1269" max="1269" width="18.796875" style="51" customWidth="1"/>
    <col min="1270" max="1270" width="11.296875" style="51" customWidth="1"/>
    <col min="1271" max="1271" width="8.19921875" style="51"/>
    <col min="1272" max="1272" width="10.59765625" style="51" customWidth="1"/>
    <col min="1273" max="1273" width="3.296875" style="51" customWidth="1"/>
    <col min="1274" max="1274" width="5.09765625" style="51" customWidth="1"/>
    <col min="1275" max="1276" width="8.19921875" style="51"/>
    <col min="1277" max="1278" width="3.296875" style="51" customWidth="1"/>
    <col min="1279" max="1279" width="8.5" style="51" bestFit="1" customWidth="1"/>
    <col min="1280" max="1280" width="9.09765625" style="51" bestFit="1" customWidth="1"/>
    <col min="1281" max="1522" width="8.19921875" style="51"/>
    <col min="1523" max="1523" width="5.09765625" style="51" customWidth="1"/>
    <col min="1524" max="1524" width="3.296875" style="51" customWidth="1"/>
    <col min="1525" max="1525" width="18.796875" style="51" customWidth="1"/>
    <col min="1526" max="1526" width="11.296875" style="51" customWidth="1"/>
    <col min="1527" max="1527" width="8.19921875" style="51"/>
    <col min="1528" max="1528" width="10.59765625" style="51" customWidth="1"/>
    <col min="1529" max="1529" width="3.296875" style="51" customWidth="1"/>
    <col min="1530" max="1530" width="5.09765625" style="51" customWidth="1"/>
    <col min="1531" max="1532" width="8.19921875" style="51"/>
    <col min="1533" max="1534" width="3.296875" style="51" customWidth="1"/>
    <col min="1535" max="1535" width="8.5" style="51" bestFit="1" customWidth="1"/>
    <col min="1536" max="1536" width="9.09765625" style="51" bestFit="1" customWidth="1"/>
    <col min="1537" max="1778" width="8.19921875" style="51"/>
    <col min="1779" max="1779" width="5.09765625" style="51" customWidth="1"/>
    <col min="1780" max="1780" width="3.296875" style="51" customWidth="1"/>
    <col min="1781" max="1781" width="18.796875" style="51" customWidth="1"/>
    <col min="1782" max="1782" width="11.296875" style="51" customWidth="1"/>
    <col min="1783" max="1783" width="8.19921875" style="51"/>
    <col min="1784" max="1784" width="10.59765625" style="51" customWidth="1"/>
    <col min="1785" max="1785" width="3.296875" style="51" customWidth="1"/>
    <col min="1786" max="1786" width="5.09765625" style="51" customWidth="1"/>
    <col min="1787" max="1788" width="8.19921875" style="51"/>
    <col min="1789" max="1790" width="3.296875" style="51" customWidth="1"/>
    <col min="1791" max="1791" width="8.5" style="51" bestFit="1" customWidth="1"/>
    <col min="1792" max="1792" width="9.09765625" style="51" bestFit="1" customWidth="1"/>
    <col min="1793" max="2034" width="8.19921875" style="51"/>
    <col min="2035" max="2035" width="5.09765625" style="51" customWidth="1"/>
    <col min="2036" max="2036" width="3.296875" style="51" customWidth="1"/>
    <col min="2037" max="2037" width="18.796875" style="51" customWidth="1"/>
    <col min="2038" max="2038" width="11.296875" style="51" customWidth="1"/>
    <col min="2039" max="2039" width="8.19921875" style="51"/>
    <col min="2040" max="2040" width="10.59765625" style="51" customWidth="1"/>
    <col min="2041" max="2041" width="3.296875" style="51" customWidth="1"/>
    <col min="2042" max="2042" width="5.09765625" style="51" customWidth="1"/>
    <col min="2043" max="2044" width="8.19921875" style="51"/>
    <col min="2045" max="2046" width="3.296875" style="51" customWidth="1"/>
    <col min="2047" max="2047" width="8.5" style="51" bestFit="1" customWidth="1"/>
    <col min="2048" max="2048" width="9.09765625" style="51" bestFit="1" customWidth="1"/>
    <col min="2049" max="2290" width="8.19921875" style="51"/>
    <col min="2291" max="2291" width="5.09765625" style="51" customWidth="1"/>
    <col min="2292" max="2292" width="3.296875" style="51" customWidth="1"/>
    <col min="2293" max="2293" width="18.796875" style="51" customWidth="1"/>
    <col min="2294" max="2294" width="11.296875" style="51" customWidth="1"/>
    <col min="2295" max="2295" width="8.19921875" style="51"/>
    <col min="2296" max="2296" width="10.59765625" style="51" customWidth="1"/>
    <col min="2297" max="2297" width="3.296875" style="51" customWidth="1"/>
    <col min="2298" max="2298" width="5.09765625" style="51" customWidth="1"/>
    <col min="2299" max="2300" width="8.19921875" style="51"/>
    <col min="2301" max="2302" width="3.296875" style="51" customWidth="1"/>
    <col min="2303" max="2303" width="8.5" style="51" bestFit="1" customWidth="1"/>
    <col min="2304" max="2304" width="9.09765625" style="51" bestFit="1" customWidth="1"/>
    <col min="2305" max="2546" width="8.19921875" style="51"/>
    <col min="2547" max="2547" width="5.09765625" style="51" customWidth="1"/>
    <col min="2548" max="2548" width="3.296875" style="51" customWidth="1"/>
    <col min="2549" max="2549" width="18.796875" style="51" customWidth="1"/>
    <col min="2550" max="2550" width="11.296875" style="51" customWidth="1"/>
    <col min="2551" max="2551" width="8.19921875" style="51"/>
    <col min="2552" max="2552" width="10.59765625" style="51" customWidth="1"/>
    <col min="2553" max="2553" width="3.296875" style="51" customWidth="1"/>
    <col min="2554" max="2554" width="5.09765625" style="51" customWidth="1"/>
    <col min="2555" max="2556" width="8.19921875" style="51"/>
    <col min="2557" max="2558" width="3.296875" style="51" customWidth="1"/>
    <col min="2559" max="2559" width="8.5" style="51" bestFit="1" customWidth="1"/>
    <col min="2560" max="2560" width="9.09765625" style="51" bestFit="1" customWidth="1"/>
    <col min="2561" max="2802" width="8.19921875" style="51"/>
    <col min="2803" max="2803" width="5.09765625" style="51" customWidth="1"/>
    <col min="2804" max="2804" width="3.296875" style="51" customWidth="1"/>
    <col min="2805" max="2805" width="18.796875" style="51" customWidth="1"/>
    <col min="2806" max="2806" width="11.296875" style="51" customWidth="1"/>
    <col min="2807" max="2807" width="8.19921875" style="51"/>
    <col min="2808" max="2808" width="10.59765625" style="51" customWidth="1"/>
    <col min="2809" max="2809" width="3.296875" style="51" customWidth="1"/>
    <col min="2810" max="2810" width="5.09765625" style="51" customWidth="1"/>
    <col min="2811" max="2812" width="8.19921875" style="51"/>
    <col min="2813" max="2814" width="3.296875" style="51" customWidth="1"/>
    <col min="2815" max="2815" width="8.5" style="51" bestFit="1" customWidth="1"/>
    <col min="2816" max="2816" width="9.09765625" style="51" bestFit="1" customWidth="1"/>
    <col min="2817" max="3058" width="8.19921875" style="51"/>
    <col min="3059" max="3059" width="5.09765625" style="51" customWidth="1"/>
    <col min="3060" max="3060" width="3.296875" style="51" customWidth="1"/>
    <col min="3061" max="3061" width="18.796875" style="51" customWidth="1"/>
    <col min="3062" max="3062" width="11.296875" style="51" customWidth="1"/>
    <col min="3063" max="3063" width="8.19921875" style="51"/>
    <col min="3064" max="3064" width="10.59765625" style="51" customWidth="1"/>
    <col min="3065" max="3065" width="3.296875" style="51" customWidth="1"/>
    <col min="3066" max="3066" width="5.09765625" style="51" customWidth="1"/>
    <col min="3067" max="3068" width="8.19921875" style="51"/>
    <col min="3069" max="3070" width="3.296875" style="51" customWidth="1"/>
    <col min="3071" max="3071" width="8.5" style="51" bestFit="1" customWidth="1"/>
    <col min="3072" max="3072" width="9.09765625" style="51" bestFit="1" customWidth="1"/>
    <col min="3073" max="3314" width="8.19921875" style="51"/>
    <col min="3315" max="3315" width="5.09765625" style="51" customWidth="1"/>
    <col min="3316" max="3316" width="3.296875" style="51" customWidth="1"/>
    <col min="3317" max="3317" width="18.796875" style="51" customWidth="1"/>
    <col min="3318" max="3318" width="11.296875" style="51" customWidth="1"/>
    <col min="3319" max="3319" width="8.19921875" style="51"/>
    <col min="3320" max="3320" width="10.59765625" style="51" customWidth="1"/>
    <col min="3321" max="3321" width="3.296875" style="51" customWidth="1"/>
    <col min="3322" max="3322" width="5.09765625" style="51" customWidth="1"/>
    <col min="3323" max="3324" width="8.19921875" style="51"/>
    <col min="3325" max="3326" width="3.296875" style="51" customWidth="1"/>
    <col min="3327" max="3327" width="8.5" style="51" bestFit="1" customWidth="1"/>
    <col min="3328" max="3328" width="9.09765625" style="51" bestFit="1" customWidth="1"/>
    <col min="3329" max="3570" width="8.19921875" style="51"/>
    <col min="3571" max="3571" width="5.09765625" style="51" customWidth="1"/>
    <col min="3572" max="3572" width="3.296875" style="51" customWidth="1"/>
    <col min="3573" max="3573" width="18.796875" style="51" customWidth="1"/>
    <col min="3574" max="3574" width="11.296875" style="51" customWidth="1"/>
    <col min="3575" max="3575" width="8.19921875" style="51"/>
    <col min="3576" max="3576" width="10.59765625" style="51" customWidth="1"/>
    <col min="3577" max="3577" width="3.296875" style="51" customWidth="1"/>
    <col min="3578" max="3578" width="5.09765625" style="51" customWidth="1"/>
    <col min="3579" max="3580" width="8.19921875" style="51"/>
    <col min="3581" max="3582" width="3.296875" style="51" customWidth="1"/>
    <col min="3583" max="3583" width="8.5" style="51" bestFit="1" customWidth="1"/>
    <col min="3584" max="3584" width="9.09765625" style="51" bestFit="1" customWidth="1"/>
    <col min="3585" max="3826" width="8.19921875" style="51"/>
    <col min="3827" max="3827" width="5.09765625" style="51" customWidth="1"/>
    <col min="3828" max="3828" width="3.296875" style="51" customWidth="1"/>
    <col min="3829" max="3829" width="18.796875" style="51" customWidth="1"/>
    <col min="3830" max="3830" width="11.296875" style="51" customWidth="1"/>
    <col min="3831" max="3831" width="8.19921875" style="51"/>
    <col min="3832" max="3832" width="10.59765625" style="51" customWidth="1"/>
    <col min="3833" max="3833" width="3.296875" style="51" customWidth="1"/>
    <col min="3834" max="3834" width="5.09765625" style="51" customWidth="1"/>
    <col min="3835" max="3836" width="8.19921875" style="51"/>
    <col min="3837" max="3838" width="3.296875" style="51" customWidth="1"/>
    <col min="3839" max="3839" width="8.5" style="51" bestFit="1" customWidth="1"/>
    <col min="3840" max="3840" width="9.09765625" style="51" bestFit="1" customWidth="1"/>
    <col min="3841" max="4082" width="8.19921875" style="51"/>
    <col min="4083" max="4083" width="5.09765625" style="51" customWidth="1"/>
    <col min="4084" max="4084" width="3.296875" style="51" customWidth="1"/>
    <col min="4085" max="4085" width="18.796875" style="51" customWidth="1"/>
    <col min="4086" max="4086" width="11.296875" style="51" customWidth="1"/>
    <col min="4087" max="4087" width="8.19921875" style="51"/>
    <col min="4088" max="4088" width="10.59765625" style="51" customWidth="1"/>
    <col min="4089" max="4089" width="3.296875" style="51" customWidth="1"/>
    <col min="4090" max="4090" width="5.09765625" style="51" customWidth="1"/>
    <col min="4091" max="4092" width="8.19921875" style="51"/>
    <col min="4093" max="4094" width="3.296875" style="51" customWidth="1"/>
    <col min="4095" max="4095" width="8.5" style="51" bestFit="1" customWidth="1"/>
    <col min="4096" max="4096" width="9.09765625" style="51" bestFit="1" customWidth="1"/>
    <col min="4097" max="4338" width="8.19921875" style="51"/>
    <col min="4339" max="4339" width="5.09765625" style="51" customWidth="1"/>
    <col min="4340" max="4340" width="3.296875" style="51" customWidth="1"/>
    <col min="4341" max="4341" width="18.796875" style="51" customWidth="1"/>
    <col min="4342" max="4342" width="11.296875" style="51" customWidth="1"/>
    <col min="4343" max="4343" width="8.19921875" style="51"/>
    <col min="4344" max="4344" width="10.59765625" style="51" customWidth="1"/>
    <col min="4345" max="4345" width="3.296875" style="51" customWidth="1"/>
    <col min="4346" max="4346" width="5.09765625" style="51" customWidth="1"/>
    <col min="4347" max="4348" width="8.19921875" style="51"/>
    <col min="4349" max="4350" width="3.296875" style="51" customWidth="1"/>
    <col min="4351" max="4351" width="8.5" style="51" bestFit="1" customWidth="1"/>
    <col min="4352" max="4352" width="9.09765625" style="51" bestFit="1" customWidth="1"/>
    <col min="4353" max="4594" width="8.19921875" style="51"/>
    <col min="4595" max="4595" width="5.09765625" style="51" customWidth="1"/>
    <col min="4596" max="4596" width="3.296875" style="51" customWidth="1"/>
    <col min="4597" max="4597" width="18.796875" style="51" customWidth="1"/>
    <col min="4598" max="4598" width="11.296875" style="51" customWidth="1"/>
    <col min="4599" max="4599" width="8.19921875" style="51"/>
    <col min="4600" max="4600" width="10.59765625" style="51" customWidth="1"/>
    <col min="4601" max="4601" width="3.296875" style="51" customWidth="1"/>
    <col min="4602" max="4602" width="5.09765625" style="51" customWidth="1"/>
    <col min="4603" max="4604" width="8.19921875" style="51"/>
    <col min="4605" max="4606" width="3.296875" style="51" customWidth="1"/>
    <col min="4607" max="4607" width="8.5" style="51" bestFit="1" customWidth="1"/>
    <col min="4608" max="4608" width="9.09765625" style="51" bestFit="1" customWidth="1"/>
    <col min="4609" max="4850" width="8.19921875" style="51"/>
    <col min="4851" max="4851" width="5.09765625" style="51" customWidth="1"/>
    <col min="4852" max="4852" width="3.296875" style="51" customWidth="1"/>
    <col min="4853" max="4853" width="18.796875" style="51" customWidth="1"/>
    <col min="4854" max="4854" width="11.296875" style="51" customWidth="1"/>
    <col min="4855" max="4855" width="8.19921875" style="51"/>
    <col min="4856" max="4856" width="10.59765625" style="51" customWidth="1"/>
    <col min="4857" max="4857" width="3.296875" style="51" customWidth="1"/>
    <col min="4858" max="4858" width="5.09765625" style="51" customWidth="1"/>
    <col min="4859" max="4860" width="8.19921875" style="51"/>
    <col min="4861" max="4862" width="3.296875" style="51" customWidth="1"/>
    <col min="4863" max="4863" width="8.5" style="51" bestFit="1" customWidth="1"/>
    <col min="4864" max="4864" width="9.09765625" style="51" bestFit="1" customWidth="1"/>
    <col min="4865" max="5106" width="8.19921875" style="51"/>
    <col min="5107" max="5107" width="5.09765625" style="51" customWidth="1"/>
    <col min="5108" max="5108" width="3.296875" style="51" customWidth="1"/>
    <col min="5109" max="5109" width="18.796875" style="51" customWidth="1"/>
    <col min="5110" max="5110" width="11.296875" style="51" customWidth="1"/>
    <col min="5111" max="5111" width="8.19921875" style="51"/>
    <col min="5112" max="5112" width="10.59765625" style="51" customWidth="1"/>
    <col min="5113" max="5113" width="3.296875" style="51" customWidth="1"/>
    <col min="5114" max="5114" width="5.09765625" style="51" customWidth="1"/>
    <col min="5115" max="5116" width="8.19921875" style="51"/>
    <col min="5117" max="5118" width="3.296875" style="51" customWidth="1"/>
    <col min="5119" max="5119" width="8.5" style="51" bestFit="1" customWidth="1"/>
    <col min="5120" max="5120" width="9.09765625" style="51" bestFit="1" customWidth="1"/>
    <col min="5121" max="5362" width="8.19921875" style="51"/>
    <col min="5363" max="5363" width="5.09765625" style="51" customWidth="1"/>
    <col min="5364" max="5364" width="3.296875" style="51" customWidth="1"/>
    <col min="5365" max="5365" width="18.796875" style="51" customWidth="1"/>
    <col min="5366" max="5366" width="11.296875" style="51" customWidth="1"/>
    <col min="5367" max="5367" width="8.19921875" style="51"/>
    <col min="5368" max="5368" width="10.59765625" style="51" customWidth="1"/>
    <col min="5369" max="5369" width="3.296875" style="51" customWidth="1"/>
    <col min="5370" max="5370" width="5.09765625" style="51" customWidth="1"/>
    <col min="5371" max="5372" width="8.19921875" style="51"/>
    <col min="5373" max="5374" width="3.296875" style="51" customWidth="1"/>
    <col min="5375" max="5375" width="8.5" style="51" bestFit="1" customWidth="1"/>
    <col min="5376" max="5376" width="9.09765625" style="51" bestFit="1" customWidth="1"/>
    <col min="5377" max="5618" width="8.19921875" style="51"/>
    <col min="5619" max="5619" width="5.09765625" style="51" customWidth="1"/>
    <col min="5620" max="5620" width="3.296875" style="51" customWidth="1"/>
    <col min="5621" max="5621" width="18.796875" style="51" customWidth="1"/>
    <col min="5622" max="5622" width="11.296875" style="51" customWidth="1"/>
    <col min="5623" max="5623" width="8.19921875" style="51"/>
    <col min="5624" max="5624" width="10.59765625" style="51" customWidth="1"/>
    <col min="5625" max="5625" width="3.296875" style="51" customWidth="1"/>
    <col min="5626" max="5626" width="5.09765625" style="51" customWidth="1"/>
    <col min="5627" max="5628" width="8.19921875" style="51"/>
    <col min="5629" max="5630" width="3.296875" style="51" customWidth="1"/>
    <col min="5631" max="5631" width="8.5" style="51" bestFit="1" customWidth="1"/>
    <col min="5632" max="5632" width="9.09765625" style="51" bestFit="1" customWidth="1"/>
    <col min="5633" max="5874" width="8.19921875" style="51"/>
    <col min="5875" max="5875" width="5.09765625" style="51" customWidth="1"/>
    <col min="5876" max="5876" width="3.296875" style="51" customWidth="1"/>
    <col min="5877" max="5877" width="18.796875" style="51" customWidth="1"/>
    <col min="5878" max="5878" width="11.296875" style="51" customWidth="1"/>
    <col min="5879" max="5879" width="8.19921875" style="51"/>
    <col min="5880" max="5880" width="10.59765625" style="51" customWidth="1"/>
    <col min="5881" max="5881" width="3.296875" style="51" customWidth="1"/>
    <col min="5882" max="5882" width="5.09765625" style="51" customWidth="1"/>
    <col min="5883" max="5884" width="8.19921875" style="51"/>
    <col min="5885" max="5886" width="3.296875" style="51" customWidth="1"/>
    <col min="5887" max="5887" width="8.5" style="51" bestFit="1" customWidth="1"/>
    <col min="5888" max="5888" width="9.09765625" style="51" bestFit="1" customWidth="1"/>
    <col min="5889" max="6130" width="8.19921875" style="51"/>
    <col min="6131" max="6131" width="5.09765625" style="51" customWidth="1"/>
    <col min="6132" max="6132" width="3.296875" style="51" customWidth="1"/>
    <col min="6133" max="6133" width="18.796875" style="51" customWidth="1"/>
    <col min="6134" max="6134" width="11.296875" style="51" customWidth="1"/>
    <col min="6135" max="6135" width="8.19921875" style="51"/>
    <col min="6136" max="6136" width="10.59765625" style="51" customWidth="1"/>
    <col min="6137" max="6137" width="3.296875" style="51" customWidth="1"/>
    <col min="6138" max="6138" width="5.09765625" style="51" customWidth="1"/>
    <col min="6139" max="6140" width="8.19921875" style="51"/>
    <col min="6141" max="6142" width="3.296875" style="51" customWidth="1"/>
    <col min="6143" max="6143" width="8.5" style="51" bestFit="1" customWidth="1"/>
    <col min="6144" max="6144" width="9.09765625" style="51" bestFit="1" customWidth="1"/>
    <col min="6145" max="6386" width="8.19921875" style="51"/>
    <col min="6387" max="6387" width="5.09765625" style="51" customWidth="1"/>
    <col min="6388" max="6388" width="3.296875" style="51" customWidth="1"/>
    <col min="6389" max="6389" width="18.796875" style="51" customWidth="1"/>
    <col min="6390" max="6390" width="11.296875" style="51" customWidth="1"/>
    <col min="6391" max="6391" width="8.19921875" style="51"/>
    <col min="6392" max="6392" width="10.59765625" style="51" customWidth="1"/>
    <col min="6393" max="6393" width="3.296875" style="51" customWidth="1"/>
    <col min="6394" max="6394" width="5.09765625" style="51" customWidth="1"/>
    <col min="6395" max="6396" width="8.19921875" style="51"/>
    <col min="6397" max="6398" width="3.296875" style="51" customWidth="1"/>
    <col min="6399" max="6399" width="8.5" style="51" bestFit="1" customWidth="1"/>
    <col min="6400" max="6400" width="9.09765625" style="51" bestFit="1" customWidth="1"/>
    <col min="6401" max="6642" width="8.19921875" style="51"/>
    <col min="6643" max="6643" width="5.09765625" style="51" customWidth="1"/>
    <col min="6644" max="6644" width="3.296875" style="51" customWidth="1"/>
    <col min="6645" max="6645" width="18.796875" style="51" customWidth="1"/>
    <col min="6646" max="6646" width="11.296875" style="51" customWidth="1"/>
    <col min="6647" max="6647" width="8.19921875" style="51"/>
    <col min="6648" max="6648" width="10.59765625" style="51" customWidth="1"/>
    <col min="6649" max="6649" width="3.296875" style="51" customWidth="1"/>
    <col min="6650" max="6650" width="5.09765625" style="51" customWidth="1"/>
    <col min="6651" max="6652" width="8.19921875" style="51"/>
    <col min="6653" max="6654" width="3.296875" style="51" customWidth="1"/>
    <col min="6655" max="6655" width="8.5" style="51" bestFit="1" customWidth="1"/>
    <col min="6656" max="6656" width="9.09765625" style="51" bestFit="1" customWidth="1"/>
    <col min="6657" max="6898" width="8.19921875" style="51"/>
    <col min="6899" max="6899" width="5.09765625" style="51" customWidth="1"/>
    <col min="6900" max="6900" width="3.296875" style="51" customWidth="1"/>
    <col min="6901" max="6901" width="18.796875" style="51" customWidth="1"/>
    <col min="6902" max="6902" width="11.296875" style="51" customWidth="1"/>
    <col min="6903" max="6903" width="8.19921875" style="51"/>
    <col min="6904" max="6904" width="10.59765625" style="51" customWidth="1"/>
    <col min="6905" max="6905" width="3.296875" style="51" customWidth="1"/>
    <col min="6906" max="6906" width="5.09765625" style="51" customWidth="1"/>
    <col min="6907" max="6908" width="8.19921875" style="51"/>
    <col min="6909" max="6910" width="3.296875" style="51" customWidth="1"/>
    <col min="6911" max="6911" width="8.5" style="51" bestFit="1" customWidth="1"/>
    <col min="6912" max="6912" width="9.09765625" style="51" bestFit="1" customWidth="1"/>
    <col min="6913" max="7154" width="8.19921875" style="51"/>
    <col min="7155" max="7155" width="5.09765625" style="51" customWidth="1"/>
    <col min="7156" max="7156" width="3.296875" style="51" customWidth="1"/>
    <col min="7157" max="7157" width="18.796875" style="51" customWidth="1"/>
    <col min="7158" max="7158" width="11.296875" style="51" customWidth="1"/>
    <col min="7159" max="7159" width="8.19921875" style="51"/>
    <col min="7160" max="7160" width="10.59765625" style="51" customWidth="1"/>
    <col min="7161" max="7161" width="3.296875" style="51" customWidth="1"/>
    <col min="7162" max="7162" width="5.09765625" style="51" customWidth="1"/>
    <col min="7163" max="7164" width="8.19921875" style="51"/>
    <col min="7165" max="7166" width="3.296875" style="51" customWidth="1"/>
    <col min="7167" max="7167" width="8.5" style="51" bestFit="1" customWidth="1"/>
    <col min="7168" max="7168" width="9.09765625" style="51" bestFit="1" customWidth="1"/>
    <col min="7169" max="7410" width="8.19921875" style="51"/>
    <col min="7411" max="7411" width="5.09765625" style="51" customWidth="1"/>
    <col min="7412" max="7412" width="3.296875" style="51" customWidth="1"/>
    <col min="7413" max="7413" width="18.796875" style="51" customWidth="1"/>
    <col min="7414" max="7414" width="11.296875" style="51" customWidth="1"/>
    <col min="7415" max="7415" width="8.19921875" style="51"/>
    <col min="7416" max="7416" width="10.59765625" style="51" customWidth="1"/>
    <col min="7417" max="7417" width="3.296875" style="51" customWidth="1"/>
    <col min="7418" max="7418" width="5.09765625" style="51" customWidth="1"/>
    <col min="7419" max="7420" width="8.19921875" style="51"/>
    <col min="7421" max="7422" width="3.296875" style="51" customWidth="1"/>
    <col min="7423" max="7423" width="8.5" style="51" bestFit="1" customWidth="1"/>
    <col min="7424" max="7424" width="9.09765625" style="51" bestFit="1" customWidth="1"/>
    <col min="7425" max="7666" width="8.19921875" style="51"/>
    <col min="7667" max="7667" width="5.09765625" style="51" customWidth="1"/>
    <col min="7668" max="7668" width="3.296875" style="51" customWidth="1"/>
    <col min="7669" max="7669" width="18.796875" style="51" customWidth="1"/>
    <col min="7670" max="7670" width="11.296875" style="51" customWidth="1"/>
    <col min="7671" max="7671" width="8.19921875" style="51"/>
    <col min="7672" max="7672" width="10.59765625" style="51" customWidth="1"/>
    <col min="7673" max="7673" width="3.296875" style="51" customWidth="1"/>
    <col min="7674" max="7674" width="5.09765625" style="51" customWidth="1"/>
    <col min="7675" max="7676" width="8.19921875" style="51"/>
    <col min="7677" max="7678" width="3.296875" style="51" customWidth="1"/>
    <col min="7679" max="7679" width="8.5" style="51" bestFit="1" customWidth="1"/>
    <col min="7680" max="7680" width="9.09765625" style="51" bestFit="1" customWidth="1"/>
    <col min="7681" max="7922" width="8.19921875" style="51"/>
    <col min="7923" max="7923" width="5.09765625" style="51" customWidth="1"/>
    <col min="7924" max="7924" width="3.296875" style="51" customWidth="1"/>
    <col min="7925" max="7925" width="18.796875" style="51" customWidth="1"/>
    <col min="7926" max="7926" width="11.296875" style="51" customWidth="1"/>
    <col min="7927" max="7927" width="8.19921875" style="51"/>
    <col min="7928" max="7928" width="10.59765625" style="51" customWidth="1"/>
    <col min="7929" max="7929" width="3.296875" style="51" customWidth="1"/>
    <col min="7930" max="7930" width="5.09765625" style="51" customWidth="1"/>
    <col min="7931" max="7932" width="8.19921875" style="51"/>
    <col min="7933" max="7934" width="3.296875" style="51" customWidth="1"/>
    <col min="7935" max="7935" width="8.5" style="51" bestFit="1" customWidth="1"/>
    <col min="7936" max="7936" width="9.09765625" style="51" bestFit="1" customWidth="1"/>
    <col min="7937" max="8178" width="8.19921875" style="51"/>
    <col min="8179" max="8179" width="5.09765625" style="51" customWidth="1"/>
    <col min="8180" max="8180" width="3.296875" style="51" customWidth="1"/>
    <col min="8181" max="8181" width="18.796875" style="51" customWidth="1"/>
    <col min="8182" max="8182" width="11.296875" style="51" customWidth="1"/>
    <col min="8183" max="8183" width="8.19921875" style="51"/>
    <col min="8184" max="8184" width="10.59765625" style="51" customWidth="1"/>
    <col min="8185" max="8185" width="3.296875" style="51" customWidth="1"/>
    <col min="8186" max="8186" width="5.09765625" style="51" customWidth="1"/>
    <col min="8187" max="8188" width="8.19921875" style="51"/>
    <col min="8189" max="8190" width="3.296875" style="51" customWidth="1"/>
    <col min="8191" max="8191" width="8.5" style="51" bestFit="1" customWidth="1"/>
    <col min="8192" max="8192" width="9.09765625" style="51" bestFit="1" customWidth="1"/>
    <col min="8193" max="8434" width="8.19921875" style="51"/>
    <col min="8435" max="8435" width="5.09765625" style="51" customWidth="1"/>
    <col min="8436" max="8436" width="3.296875" style="51" customWidth="1"/>
    <col min="8437" max="8437" width="18.796875" style="51" customWidth="1"/>
    <col min="8438" max="8438" width="11.296875" style="51" customWidth="1"/>
    <col min="8439" max="8439" width="8.19921875" style="51"/>
    <col min="8440" max="8440" width="10.59765625" style="51" customWidth="1"/>
    <col min="8441" max="8441" width="3.296875" style="51" customWidth="1"/>
    <col min="8442" max="8442" width="5.09765625" style="51" customWidth="1"/>
    <col min="8443" max="8444" width="8.19921875" style="51"/>
    <col min="8445" max="8446" width="3.296875" style="51" customWidth="1"/>
    <col min="8447" max="8447" width="8.5" style="51" bestFit="1" customWidth="1"/>
    <col min="8448" max="8448" width="9.09765625" style="51" bestFit="1" customWidth="1"/>
    <col min="8449" max="8690" width="8.19921875" style="51"/>
    <col min="8691" max="8691" width="5.09765625" style="51" customWidth="1"/>
    <col min="8692" max="8692" width="3.296875" style="51" customWidth="1"/>
    <col min="8693" max="8693" width="18.796875" style="51" customWidth="1"/>
    <col min="8694" max="8694" width="11.296875" style="51" customWidth="1"/>
    <col min="8695" max="8695" width="8.19921875" style="51"/>
    <col min="8696" max="8696" width="10.59765625" style="51" customWidth="1"/>
    <col min="8697" max="8697" width="3.296875" style="51" customWidth="1"/>
    <col min="8698" max="8698" width="5.09765625" style="51" customWidth="1"/>
    <col min="8699" max="8700" width="8.19921875" style="51"/>
    <col min="8701" max="8702" width="3.296875" style="51" customWidth="1"/>
    <col min="8703" max="8703" width="8.5" style="51" bestFit="1" customWidth="1"/>
    <col min="8704" max="8704" width="9.09765625" style="51" bestFit="1" customWidth="1"/>
    <col min="8705" max="8946" width="8.19921875" style="51"/>
    <col min="8947" max="8947" width="5.09765625" style="51" customWidth="1"/>
    <col min="8948" max="8948" width="3.296875" style="51" customWidth="1"/>
    <col min="8949" max="8949" width="18.796875" style="51" customWidth="1"/>
    <col min="8950" max="8950" width="11.296875" style="51" customWidth="1"/>
    <col min="8951" max="8951" width="8.19921875" style="51"/>
    <col min="8952" max="8952" width="10.59765625" style="51" customWidth="1"/>
    <col min="8953" max="8953" width="3.296875" style="51" customWidth="1"/>
    <col min="8954" max="8954" width="5.09765625" style="51" customWidth="1"/>
    <col min="8955" max="8956" width="8.19921875" style="51"/>
    <col min="8957" max="8958" width="3.296875" style="51" customWidth="1"/>
    <col min="8959" max="8959" width="8.5" style="51" bestFit="1" customWidth="1"/>
    <col min="8960" max="8960" width="9.09765625" style="51" bestFit="1" customWidth="1"/>
    <col min="8961" max="9202" width="8.19921875" style="51"/>
    <col min="9203" max="9203" width="5.09765625" style="51" customWidth="1"/>
    <col min="9204" max="9204" width="3.296875" style="51" customWidth="1"/>
    <col min="9205" max="9205" width="18.796875" style="51" customWidth="1"/>
    <col min="9206" max="9206" width="11.296875" style="51" customWidth="1"/>
    <col min="9207" max="9207" width="8.19921875" style="51"/>
    <col min="9208" max="9208" width="10.59765625" style="51" customWidth="1"/>
    <col min="9209" max="9209" width="3.296875" style="51" customWidth="1"/>
    <col min="9210" max="9210" width="5.09765625" style="51" customWidth="1"/>
    <col min="9211" max="9212" width="8.19921875" style="51"/>
    <col min="9213" max="9214" width="3.296875" style="51" customWidth="1"/>
    <col min="9215" max="9215" width="8.5" style="51" bestFit="1" customWidth="1"/>
    <col min="9216" max="9216" width="9.09765625" style="51" bestFit="1" customWidth="1"/>
    <col min="9217" max="9458" width="8.19921875" style="51"/>
    <col min="9459" max="9459" width="5.09765625" style="51" customWidth="1"/>
    <col min="9460" max="9460" width="3.296875" style="51" customWidth="1"/>
    <col min="9461" max="9461" width="18.796875" style="51" customWidth="1"/>
    <col min="9462" max="9462" width="11.296875" style="51" customWidth="1"/>
    <col min="9463" max="9463" width="8.19921875" style="51"/>
    <col min="9464" max="9464" width="10.59765625" style="51" customWidth="1"/>
    <col min="9465" max="9465" width="3.296875" style="51" customWidth="1"/>
    <col min="9466" max="9466" width="5.09765625" style="51" customWidth="1"/>
    <col min="9467" max="9468" width="8.19921875" style="51"/>
    <col min="9469" max="9470" width="3.296875" style="51" customWidth="1"/>
    <col min="9471" max="9471" width="8.5" style="51" bestFit="1" customWidth="1"/>
    <col min="9472" max="9472" width="9.09765625" style="51" bestFit="1" customWidth="1"/>
    <col min="9473" max="9714" width="8.19921875" style="51"/>
    <col min="9715" max="9715" width="5.09765625" style="51" customWidth="1"/>
    <col min="9716" max="9716" width="3.296875" style="51" customWidth="1"/>
    <col min="9717" max="9717" width="18.796875" style="51" customWidth="1"/>
    <col min="9718" max="9718" width="11.296875" style="51" customWidth="1"/>
    <col min="9719" max="9719" width="8.19921875" style="51"/>
    <col min="9720" max="9720" width="10.59765625" style="51" customWidth="1"/>
    <col min="9721" max="9721" width="3.296875" style="51" customWidth="1"/>
    <col min="9722" max="9722" width="5.09765625" style="51" customWidth="1"/>
    <col min="9723" max="9724" width="8.19921875" style="51"/>
    <col min="9725" max="9726" width="3.296875" style="51" customWidth="1"/>
    <col min="9727" max="9727" width="8.5" style="51" bestFit="1" customWidth="1"/>
    <col min="9728" max="9728" width="9.09765625" style="51" bestFit="1" customWidth="1"/>
    <col min="9729" max="9970" width="8.19921875" style="51"/>
    <col min="9971" max="9971" width="5.09765625" style="51" customWidth="1"/>
    <col min="9972" max="9972" width="3.296875" style="51" customWidth="1"/>
    <col min="9973" max="9973" width="18.796875" style="51" customWidth="1"/>
    <col min="9974" max="9974" width="11.296875" style="51" customWidth="1"/>
    <col min="9975" max="9975" width="8.19921875" style="51"/>
    <col min="9976" max="9976" width="10.59765625" style="51" customWidth="1"/>
    <col min="9977" max="9977" width="3.296875" style="51" customWidth="1"/>
    <col min="9978" max="9978" width="5.09765625" style="51" customWidth="1"/>
    <col min="9979" max="9980" width="8.19921875" style="51"/>
    <col min="9981" max="9982" width="3.296875" style="51" customWidth="1"/>
    <col min="9983" max="9983" width="8.5" style="51" bestFit="1" customWidth="1"/>
    <col min="9984" max="9984" width="9.09765625" style="51" bestFit="1" customWidth="1"/>
    <col min="9985" max="10226" width="8.19921875" style="51"/>
    <col min="10227" max="10227" width="5.09765625" style="51" customWidth="1"/>
    <col min="10228" max="10228" width="3.296875" style="51" customWidth="1"/>
    <col min="10229" max="10229" width="18.796875" style="51" customWidth="1"/>
    <col min="10230" max="10230" width="11.296875" style="51" customWidth="1"/>
    <col min="10231" max="10231" width="8.19921875" style="51"/>
    <col min="10232" max="10232" width="10.59765625" style="51" customWidth="1"/>
    <col min="10233" max="10233" width="3.296875" style="51" customWidth="1"/>
    <col min="10234" max="10234" width="5.09765625" style="51" customWidth="1"/>
    <col min="10235" max="10236" width="8.19921875" style="51"/>
    <col min="10237" max="10238" width="3.296875" style="51" customWidth="1"/>
    <col min="10239" max="10239" width="8.5" style="51" bestFit="1" customWidth="1"/>
    <col min="10240" max="10240" width="9.09765625" style="51" bestFit="1" customWidth="1"/>
    <col min="10241" max="10482" width="8.19921875" style="51"/>
    <col min="10483" max="10483" width="5.09765625" style="51" customWidth="1"/>
    <col min="10484" max="10484" width="3.296875" style="51" customWidth="1"/>
    <col min="10485" max="10485" width="18.796875" style="51" customWidth="1"/>
    <col min="10486" max="10486" width="11.296875" style="51" customWidth="1"/>
    <col min="10487" max="10487" width="8.19921875" style="51"/>
    <col min="10488" max="10488" width="10.59765625" style="51" customWidth="1"/>
    <col min="10489" max="10489" width="3.296875" style="51" customWidth="1"/>
    <col min="10490" max="10490" width="5.09765625" style="51" customWidth="1"/>
    <col min="10491" max="10492" width="8.19921875" style="51"/>
    <col min="10493" max="10494" width="3.296875" style="51" customWidth="1"/>
    <col min="10495" max="10495" width="8.5" style="51" bestFit="1" customWidth="1"/>
    <col min="10496" max="10496" width="9.09765625" style="51" bestFit="1" customWidth="1"/>
    <col min="10497" max="10738" width="8.19921875" style="51"/>
    <col min="10739" max="10739" width="5.09765625" style="51" customWidth="1"/>
    <col min="10740" max="10740" width="3.296875" style="51" customWidth="1"/>
    <col min="10741" max="10741" width="18.796875" style="51" customWidth="1"/>
    <col min="10742" max="10742" width="11.296875" style="51" customWidth="1"/>
    <col min="10743" max="10743" width="8.19921875" style="51"/>
    <col min="10744" max="10744" width="10.59765625" style="51" customWidth="1"/>
    <col min="10745" max="10745" width="3.296875" style="51" customWidth="1"/>
    <col min="10746" max="10746" width="5.09765625" style="51" customWidth="1"/>
    <col min="10747" max="10748" width="8.19921875" style="51"/>
    <col min="10749" max="10750" width="3.296875" style="51" customWidth="1"/>
    <col min="10751" max="10751" width="8.5" style="51" bestFit="1" customWidth="1"/>
    <col min="10752" max="10752" width="9.09765625" style="51" bestFit="1" customWidth="1"/>
    <col min="10753" max="10994" width="8.19921875" style="51"/>
    <col min="10995" max="10995" width="5.09765625" style="51" customWidth="1"/>
    <col min="10996" max="10996" width="3.296875" style="51" customWidth="1"/>
    <col min="10997" max="10997" width="18.796875" style="51" customWidth="1"/>
    <col min="10998" max="10998" width="11.296875" style="51" customWidth="1"/>
    <col min="10999" max="10999" width="8.19921875" style="51"/>
    <col min="11000" max="11000" width="10.59765625" style="51" customWidth="1"/>
    <col min="11001" max="11001" width="3.296875" style="51" customWidth="1"/>
    <col min="11002" max="11002" width="5.09765625" style="51" customWidth="1"/>
    <col min="11003" max="11004" width="8.19921875" style="51"/>
    <col min="11005" max="11006" width="3.296875" style="51" customWidth="1"/>
    <col min="11007" max="11007" width="8.5" style="51" bestFit="1" customWidth="1"/>
    <col min="11008" max="11008" width="9.09765625" style="51" bestFit="1" customWidth="1"/>
    <col min="11009" max="11250" width="8.19921875" style="51"/>
    <col min="11251" max="11251" width="5.09765625" style="51" customWidth="1"/>
    <col min="11252" max="11252" width="3.296875" style="51" customWidth="1"/>
    <col min="11253" max="11253" width="18.796875" style="51" customWidth="1"/>
    <col min="11254" max="11254" width="11.296875" style="51" customWidth="1"/>
    <col min="11255" max="11255" width="8.19921875" style="51"/>
    <col min="11256" max="11256" width="10.59765625" style="51" customWidth="1"/>
    <col min="11257" max="11257" width="3.296875" style="51" customWidth="1"/>
    <col min="11258" max="11258" width="5.09765625" style="51" customWidth="1"/>
    <col min="11259" max="11260" width="8.19921875" style="51"/>
    <col min="11261" max="11262" width="3.296875" style="51" customWidth="1"/>
    <col min="11263" max="11263" width="8.5" style="51" bestFit="1" customWidth="1"/>
    <col min="11264" max="11264" width="9.09765625" style="51" bestFit="1" customWidth="1"/>
    <col min="11265" max="11506" width="8.19921875" style="51"/>
    <col min="11507" max="11507" width="5.09765625" style="51" customWidth="1"/>
    <col min="11508" max="11508" width="3.296875" style="51" customWidth="1"/>
    <col min="11509" max="11509" width="18.796875" style="51" customWidth="1"/>
    <col min="11510" max="11510" width="11.296875" style="51" customWidth="1"/>
    <col min="11511" max="11511" width="8.19921875" style="51"/>
    <col min="11512" max="11512" width="10.59765625" style="51" customWidth="1"/>
    <col min="11513" max="11513" width="3.296875" style="51" customWidth="1"/>
    <col min="11514" max="11514" width="5.09765625" style="51" customWidth="1"/>
    <col min="11515" max="11516" width="8.19921875" style="51"/>
    <col min="11517" max="11518" width="3.296875" style="51" customWidth="1"/>
    <col min="11519" max="11519" width="8.5" style="51" bestFit="1" customWidth="1"/>
    <col min="11520" max="11520" width="9.09765625" style="51" bestFit="1" customWidth="1"/>
    <col min="11521" max="11762" width="8.19921875" style="51"/>
    <col min="11763" max="11763" width="5.09765625" style="51" customWidth="1"/>
    <col min="11764" max="11764" width="3.296875" style="51" customWidth="1"/>
    <col min="11765" max="11765" width="18.796875" style="51" customWidth="1"/>
    <col min="11766" max="11766" width="11.296875" style="51" customWidth="1"/>
    <col min="11767" max="11767" width="8.19921875" style="51"/>
    <col min="11768" max="11768" width="10.59765625" style="51" customWidth="1"/>
    <col min="11769" max="11769" width="3.296875" style="51" customWidth="1"/>
    <col min="11770" max="11770" width="5.09765625" style="51" customWidth="1"/>
    <col min="11771" max="11772" width="8.19921875" style="51"/>
    <col min="11773" max="11774" width="3.296875" style="51" customWidth="1"/>
    <col min="11775" max="11775" width="8.5" style="51" bestFit="1" customWidth="1"/>
    <col min="11776" max="11776" width="9.09765625" style="51" bestFit="1" customWidth="1"/>
    <col min="11777" max="12018" width="8.19921875" style="51"/>
    <col min="12019" max="12019" width="5.09765625" style="51" customWidth="1"/>
    <col min="12020" max="12020" width="3.296875" style="51" customWidth="1"/>
    <col min="12021" max="12021" width="18.796875" style="51" customWidth="1"/>
    <col min="12022" max="12022" width="11.296875" style="51" customWidth="1"/>
    <col min="12023" max="12023" width="8.19921875" style="51"/>
    <col min="12024" max="12024" width="10.59765625" style="51" customWidth="1"/>
    <col min="12025" max="12025" width="3.296875" style="51" customWidth="1"/>
    <col min="12026" max="12026" width="5.09765625" style="51" customWidth="1"/>
    <col min="12027" max="12028" width="8.19921875" style="51"/>
    <col min="12029" max="12030" width="3.296875" style="51" customWidth="1"/>
    <col min="12031" max="12031" width="8.5" style="51" bestFit="1" customWidth="1"/>
    <col min="12032" max="12032" width="9.09765625" style="51" bestFit="1" customWidth="1"/>
    <col min="12033" max="12274" width="8.19921875" style="51"/>
    <col min="12275" max="12275" width="5.09765625" style="51" customWidth="1"/>
    <col min="12276" max="12276" width="3.296875" style="51" customWidth="1"/>
    <col min="12277" max="12277" width="18.796875" style="51" customWidth="1"/>
    <col min="12278" max="12278" width="11.296875" style="51" customWidth="1"/>
    <col min="12279" max="12279" width="8.19921875" style="51"/>
    <col min="12280" max="12280" width="10.59765625" style="51" customWidth="1"/>
    <col min="12281" max="12281" width="3.296875" style="51" customWidth="1"/>
    <col min="12282" max="12282" width="5.09765625" style="51" customWidth="1"/>
    <col min="12283" max="12284" width="8.19921875" style="51"/>
    <col min="12285" max="12286" width="3.296875" style="51" customWidth="1"/>
    <col min="12287" max="12287" width="8.5" style="51" bestFit="1" customWidth="1"/>
    <col min="12288" max="12288" width="9.09765625" style="51" bestFit="1" customWidth="1"/>
    <col min="12289" max="12530" width="8.19921875" style="51"/>
    <col min="12531" max="12531" width="5.09765625" style="51" customWidth="1"/>
    <col min="12532" max="12532" width="3.296875" style="51" customWidth="1"/>
    <col min="12533" max="12533" width="18.796875" style="51" customWidth="1"/>
    <col min="12534" max="12534" width="11.296875" style="51" customWidth="1"/>
    <col min="12535" max="12535" width="8.19921875" style="51"/>
    <col min="12536" max="12536" width="10.59765625" style="51" customWidth="1"/>
    <col min="12537" max="12537" width="3.296875" style="51" customWidth="1"/>
    <col min="12538" max="12538" width="5.09765625" style="51" customWidth="1"/>
    <col min="12539" max="12540" width="8.19921875" style="51"/>
    <col min="12541" max="12542" width="3.296875" style="51" customWidth="1"/>
    <col min="12543" max="12543" width="8.5" style="51" bestFit="1" customWidth="1"/>
    <col min="12544" max="12544" width="9.09765625" style="51" bestFit="1" customWidth="1"/>
    <col min="12545" max="12786" width="8.19921875" style="51"/>
    <col min="12787" max="12787" width="5.09765625" style="51" customWidth="1"/>
    <col min="12788" max="12788" width="3.296875" style="51" customWidth="1"/>
    <col min="12789" max="12789" width="18.796875" style="51" customWidth="1"/>
    <col min="12790" max="12790" width="11.296875" style="51" customWidth="1"/>
    <col min="12791" max="12791" width="8.19921875" style="51"/>
    <col min="12792" max="12792" width="10.59765625" style="51" customWidth="1"/>
    <col min="12793" max="12793" width="3.296875" style="51" customWidth="1"/>
    <col min="12794" max="12794" width="5.09765625" style="51" customWidth="1"/>
    <col min="12795" max="12796" width="8.19921875" style="51"/>
    <col min="12797" max="12798" width="3.296875" style="51" customWidth="1"/>
    <col min="12799" max="12799" width="8.5" style="51" bestFit="1" customWidth="1"/>
    <col min="12800" max="12800" width="9.09765625" style="51" bestFit="1" customWidth="1"/>
    <col min="12801" max="13042" width="8.19921875" style="51"/>
    <col min="13043" max="13043" width="5.09765625" style="51" customWidth="1"/>
    <col min="13044" max="13044" width="3.296875" style="51" customWidth="1"/>
    <col min="13045" max="13045" width="18.796875" style="51" customWidth="1"/>
    <col min="13046" max="13046" width="11.296875" style="51" customWidth="1"/>
    <col min="13047" max="13047" width="8.19921875" style="51"/>
    <col min="13048" max="13048" width="10.59765625" style="51" customWidth="1"/>
    <col min="13049" max="13049" width="3.296875" style="51" customWidth="1"/>
    <col min="13050" max="13050" width="5.09765625" style="51" customWidth="1"/>
    <col min="13051" max="13052" width="8.19921875" style="51"/>
    <col min="13053" max="13054" width="3.296875" style="51" customWidth="1"/>
    <col min="13055" max="13055" width="8.5" style="51" bestFit="1" customWidth="1"/>
    <col min="13056" max="13056" width="9.09765625" style="51" bestFit="1" customWidth="1"/>
    <col min="13057" max="13298" width="8.19921875" style="51"/>
    <col min="13299" max="13299" width="5.09765625" style="51" customWidth="1"/>
    <col min="13300" max="13300" width="3.296875" style="51" customWidth="1"/>
    <col min="13301" max="13301" width="18.796875" style="51" customWidth="1"/>
    <col min="13302" max="13302" width="11.296875" style="51" customWidth="1"/>
    <col min="13303" max="13303" width="8.19921875" style="51"/>
    <col min="13304" max="13304" width="10.59765625" style="51" customWidth="1"/>
    <col min="13305" max="13305" width="3.296875" style="51" customWidth="1"/>
    <col min="13306" max="13306" width="5.09765625" style="51" customWidth="1"/>
    <col min="13307" max="13308" width="8.19921875" style="51"/>
    <col min="13309" max="13310" width="3.296875" style="51" customWidth="1"/>
    <col min="13311" max="13311" width="8.5" style="51" bestFit="1" customWidth="1"/>
    <col min="13312" max="13312" width="9.09765625" style="51" bestFit="1" customWidth="1"/>
    <col min="13313" max="13554" width="8.19921875" style="51"/>
    <col min="13555" max="13555" width="5.09765625" style="51" customWidth="1"/>
    <col min="13556" max="13556" width="3.296875" style="51" customWidth="1"/>
    <col min="13557" max="13557" width="18.796875" style="51" customWidth="1"/>
    <col min="13558" max="13558" width="11.296875" style="51" customWidth="1"/>
    <col min="13559" max="13559" width="8.19921875" style="51"/>
    <col min="13560" max="13560" width="10.59765625" style="51" customWidth="1"/>
    <col min="13561" max="13561" width="3.296875" style="51" customWidth="1"/>
    <col min="13562" max="13562" width="5.09765625" style="51" customWidth="1"/>
    <col min="13563" max="13564" width="8.19921875" style="51"/>
    <col min="13565" max="13566" width="3.296875" style="51" customWidth="1"/>
    <col min="13567" max="13567" width="8.5" style="51" bestFit="1" customWidth="1"/>
    <col min="13568" max="13568" width="9.09765625" style="51" bestFit="1" customWidth="1"/>
    <col min="13569" max="13810" width="8.19921875" style="51"/>
    <col min="13811" max="13811" width="5.09765625" style="51" customWidth="1"/>
    <col min="13812" max="13812" width="3.296875" style="51" customWidth="1"/>
    <col min="13813" max="13813" width="18.796875" style="51" customWidth="1"/>
    <col min="13814" max="13814" width="11.296875" style="51" customWidth="1"/>
    <col min="13815" max="13815" width="8.19921875" style="51"/>
    <col min="13816" max="13816" width="10.59765625" style="51" customWidth="1"/>
    <col min="13817" max="13817" width="3.296875" style="51" customWidth="1"/>
    <col min="13818" max="13818" width="5.09765625" style="51" customWidth="1"/>
    <col min="13819" max="13820" width="8.19921875" style="51"/>
    <col min="13821" max="13822" width="3.296875" style="51" customWidth="1"/>
    <col min="13823" max="13823" width="8.5" style="51" bestFit="1" customWidth="1"/>
    <col min="13824" max="13824" width="9.09765625" style="51" bestFit="1" customWidth="1"/>
    <col min="13825" max="14066" width="8.19921875" style="51"/>
    <col min="14067" max="14067" width="5.09765625" style="51" customWidth="1"/>
    <col min="14068" max="14068" width="3.296875" style="51" customWidth="1"/>
    <col min="14069" max="14069" width="18.796875" style="51" customWidth="1"/>
    <col min="14070" max="14070" width="11.296875" style="51" customWidth="1"/>
    <col min="14071" max="14071" width="8.19921875" style="51"/>
    <col min="14072" max="14072" width="10.59765625" style="51" customWidth="1"/>
    <col min="14073" max="14073" width="3.296875" style="51" customWidth="1"/>
    <col min="14074" max="14074" width="5.09765625" style="51" customWidth="1"/>
    <col min="14075" max="14076" width="8.19921875" style="51"/>
    <col min="14077" max="14078" width="3.296875" style="51" customWidth="1"/>
    <col min="14079" max="14079" width="8.5" style="51" bestFit="1" customWidth="1"/>
    <col min="14080" max="14080" width="9.09765625" style="51" bestFit="1" customWidth="1"/>
    <col min="14081" max="14322" width="8.19921875" style="51"/>
    <col min="14323" max="14323" width="5.09765625" style="51" customWidth="1"/>
    <col min="14324" max="14324" width="3.296875" style="51" customWidth="1"/>
    <col min="14325" max="14325" width="18.796875" style="51" customWidth="1"/>
    <col min="14326" max="14326" width="11.296875" style="51" customWidth="1"/>
    <col min="14327" max="14327" width="8.19921875" style="51"/>
    <col min="14328" max="14328" width="10.59765625" style="51" customWidth="1"/>
    <col min="14329" max="14329" width="3.296875" style="51" customWidth="1"/>
    <col min="14330" max="14330" width="5.09765625" style="51" customWidth="1"/>
    <col min="14331" max="14332" width="8.19921875" style="51"/>
    <col min="14333" max="14334" width="3.296875" style="51" customWidth="1"/>
    <col min="14335" max="14335" width="8.5" style="51" bestFit="1" customWidth="1"/>
    <col min="14336" max="14336" width="9.09765625" style="51" bestFit="1" customWidth="1"/>
    <col min="14337" max="14578" width="8.19921875" style="51"/>
    <col min="14579" max="14579" width="5.09765625" style="51" customWidth="1"/>
    <col min="14580" max="14580" width="3.296875" style="51" customWidth="1"/>
    <col min="14581" max="14581" width="18.796875" style="51" customWidth="1"/>
    <col min="14582" max="14582" width="11.296875" style="51" customWidth="1"/>
    <col min="14583" max="14583" width="8.19921875" style="51"/>
    <col min="14584" max="14584" width="10.59765625" style="51" customWidth="1"/>
    <col min="14585" max="14585" width="3.296875" style="51" customWidth="1"/>
    <col min="14586" max="14586" width="5.09765625" style="51" customWidth="1"/>
    <col min="14587" max="14588" width="8.19921875" style="51"/>
    <col min="14589" max="14590" width="3.296875" style="51" customWidth="1"/>
    <col min="14591" max="14591" width="8.5" style="51" bestFit="1" customWidth="1"/>
    <col min="14592" max="14592" width="9.09765625" style="51" bestFit="1" customWidth="1"/>
    <col min="14593" max="14834" width="8.19921875" style="51"/>
    <col min="14835" max="14835" width="5.09765625" style="51" customWidth="1"/>
    <col min="14836" max="14836" width="3.296875" style="51" customWidth="1"/>
    <col min="14837" max="14837" width="18.796875" style="51" customWidth="1"/>
    <col min="14838" max="14838" width="11.296875" style="51" customWidth="1"/>
    <col min="14839" max="14839" width="8.19921875" style="51"/>
    <col min="14840" max="14840" width="10.59765625" style="51" customWidth="1"/>
    <col min="14841" max="14841" width="3.296875" style="51" customWidth="1"/>
    <col min="14842" max="14842" width="5.09765625" style="51" customWidth="1"/>
    <col min="14843" max="14844" width="8.19921875" style="51"/>
    <col min="14845" max="14846" width="3.296875" style="51" customWidth="1"/>
    <col min="14847" max="14847" width="8.5" style="51" bestFit="1" customWidth="1"/>
    <col min="14848" max="14848" width="9.09765625" style="51" bestFit="1" customWidth="1"/>
    <col min="14849" max="15090" width="8.19921875" style="51"/>
    <col min="15091" max="15091" width="5.09765625" style="51" customWidth="1"/>
    <col min="15092" max="15092" width="3.296875" style="51" customWidth="1"/>
    <col min="15093" max="15093" width="18.796875" style="51" customWidth="1"/>
    <col min="15094" max="15094" width="11.296875" style="51" customWidth="1"/>
    <col min="15095" max="15095" width="8.19921875" style="51"/>
    <col min="15096" max="15096" width="10.59765625" style="51" customWidth="1"/>
    <col min="15097" max="15097" width="3.296875" style="51" customWidth="1"/>
    <col min="15098" max="15098" width="5.09765625" style="51" customWidth="1"/>
    <col min="15099" max="15100" width="8.19921875" style="51"/>
    <col min="15101" max="15102" width="3.296875" style="51" customWidth="1"/>
    <col min="15103" max="15103" width="8.5" style="51" bestFit="1" customWidth="1"/>
    <col min="15104" max="15104" width="9.09765625" style="51" bestFit="1" customWidth="1"/>
    <col min="15105" max="15346" width="8.19921875" style="51"/>
    <col min="15347" max="15347" width="5.09765625" style="51" customWidth="1"/>
    <col min="15348" max="15348" width="3.296875" style="51" customWidth="1"/>
    <col min="15349" max="15349" width="18.796875" style="51" customWidth="1"/>
    <col min="15350" max="15350" width="11.296875" style="51" customWidth="1"/>
    <col min="15351" max="15351" width="8.19921875" style="51"/>
    <col min="15352" max="15352" width="10.59765625" style="51" customWidth="1"/>
    <col min="15353" max="15353" width="3.296875" style="51" customWidth="1"/>
    <col min="15354" max="15354" width="5.09765625" style="51" customWidth="1"/>
    <col min="15355" max="15356" width="8.19921875" style="51"/>
    <col min="15357" max="15358" width="3.296875" style="51" customWidth="1"/>
    <col min="15359" max="15359" width="8.5" style="51" bestFit="1" customWidth="1"/>
    <col min="15360" max="15360" width="9.09765625" style="51" bestFit="1" customWidth="1"/>
    <col min="15361" max="15602" width="8.19921875" style="51"/>
    <col min="15603" max="15603" width="5.09765625" style="51" customWidth="1"/>
    <col min="15604" max="15604" width="3.296875" style="51" customWidth="1"/>
    <col min="15605" max="15605" width="18.796875" style="51" customWidth="1"/>
    <col min="15606" max="15606" width="11.296875" style="51" customWidth="1"/>
    <col min="15607" max="15607" width="8.19921875" style="51"/>
    <col min="15608" max="15608" width="10.59765625" style="51" customWidth="1"/>
    <col min="15609" max="15609" width="3.296875" style="51" customWidth="1"/>
    <col min="15610" max="15610" width="5.09765625" style="51" customWidth="1"/>
    <col min="15611" max="15612" width="8.19921875" style="51"/>
    <col min="15613" max="15614" width="3.296875" style="51" customWidth="1"/>
    <col min="15615" max="15615" width="8.5" style="51" bestFit="1" customWidth="1"/>
    <col min="15616" max="15616" width="9.09765625" style="51" bestFit="1" customWidth="1"/>
    <col min="15617" max="15858" width="8.19921875" style="51"/>
    <col min="15859" max="15859" width="5.09765625" style="51" customWidth="1"/>
    <col min="15860" max="15860" width="3.296875" style="51" customWidth="1"/>
    <col min="15861" max="15861" width="18.796875" style="51" customWidth="1"/>
    <col min="15862" max="15862" width="11.296875" style="51" customWidth="1"/>
    <col min="15863" max="15863" width="8.19921875" style="51"/>
    <col min="15864" max="15864" width="10.59765625" style="51" customWidth="1"/>
    <col min="15865" max="15865" width="3.296875" style="51" customWidth="1"/>
    <col min="15866" max="15866" width="5.09765625" style="51" customWidth="1"/>
    <col min="15867" max="15868" width="8.19921875" style="51"/>
    <col min="15869" max="15870" width="3.296875" style="51" customWidth="1"/>
    <col min="15871" max="15871" width="8.5" style="51" bestFit="1" customWidth="1"/>
    <col min="15872" max="15872" width="9.09765625" style="51" bestFit="1" customWidth="1"/>
    <col min="15873" max="16114" width="8.19921875" style="51"/>
    <col min="16115" max="16115" width="5.09765625" style="51" customWidth="1"/>
    <col min="16116" max="16116" width="3.296875" style="51" customWidth="1"/>
    <col min="16117" max="16117" width="18.796875" style="51" customWidth="1"/>
    <col min="16118" max="16118" width="11.296875" style="51" customWidth="1"/>
    <col min="16119" max="16119" width="8.19921875" style="51"/>
    <col min="16120" max="16120" width="10.59765625" style="51" customWidth="1"/>
    <col min="16121" max="16121" width="3.296875" style="51" customWidth="1"/>
    <col min="16122" max="16122" width="5.09765625" style="51" customWidth="1"/>
    <col min="16123" max="16124" width="8.19921875" style="51"/>
    <col min="16125" max="16126" width="3.296875" style="51" customWidth="1"/>
    <col min="16127" max="16127" width="8.5" style="51" bestFit="1" customWidth="1"/>
    <col min="16128" max="16128" width="9.09765625" style="51" bestFit="1" customWidth="1"/>
    <col min="16129" max="16384" width="8.19921875" style="51"/>
  </cols>
  <sheetData>
    <row r="1" spans="1:10" ht="27" customHeight="1"/>
    <row r="2" spans="1:10" ht="30" customHeight="1">
      <c r="B2" s="155" t="s">
        <v>156</v>
      </c>
      <c r="C2" s="156"/>
      <c r="D2" s="156"/>
      <c r="E2" s="156"/>
      <c r="F2" s="156"/>
      <c r="G2" s="156"/>
      <c r="H2" s="156"/>
      <c r="I2" s="156"/>
    </row>
    <row r="3" spans="1:10" ht="18">
      <c r="I3" s="157" t="s">
        <v>155</v>
      </c>
      <c r="J3" s="158"/>
    </row>
    <row r="4" spans="1:10" ht="18" customHeight="1">
      <c r="A4" s="80"/>
      <c r="B4" s="159"/>
      <c r="C4" s="160"/>
      <c r="D4" s="160"/>
      <c r="E4" s="81" t="s">
        <v>154</v>
      </c>
      <c r="F4" s="80"/>
      <c r="H4" s="161" t="s">
        <v>205</v>
      </c>
      <c r="I4" s="162"/>
      <c r="J4" s="162"/>
    </row>
    <row r="5" spans="1:10" ht="18" customHeight="1">
      <c r="B5" s="163"/>
      <c r="C5" s="164"/>
      <c r="D5" s="164"/>
      <c r="E5" s="164"/>
      <c r="H5" s="82"/>
      <c r="I5" s="82" t="s">
        <v>5</v>
      </c>
      <c r="J5" s="82"/>
    </row>
    <row r="6" spans="1:10" ht="18" customHeight="1"/>
    <row r="7" spans="1:10" ht="18" customHeight="1">
      <c r="A7" s="83"/>
      <c r="B7" s="84"/>
      <c r="C7" s="203" t="s">
        <v>153</v>
      </c>
      <c r="D7" s="204"/>
      <c r="E7" s="209">
        <f>ROUNDDOWN(H8*0.3025,1)</f>
        <v>0</v>
      </c>
      <c r="F7" s="117"/>
      <c r="H7" s="153"/>
      <c r="I7" s="154"/>
      <c r="J7" s="152"/>
    </row>
    <row r="8" spans="1:10" ht="18" customHeight="1">
      <c r="A8" s="83"/>
      <c r="B8" s="86" t="s">
        <v>204</v>
      </c>
      <c r="C8" s="205"/>
      <c r="D8" s="206"/>
      <c r="E8" s="210"/>
      <c r="F8" s="118"/>
      <c r="H8" s="168"/>
      <c r="I8" s="169"/>
      <c r="J8" s="116" t="s">
        <v>11</v>
      </c>
    </row>
    <row r="9" spans="1:10" ht="18" customHeight="1">
      <c r="A9" s="83"/>
      <c r="B9" s="87"/>
      <c r="C9" s="207"/>
      <c r="D9" s="208"/>
      <c r="E9" s="211"/>
      <c r="F9" s="118" t="s">
        <v>97</v>
      </c>
      <c r="H9" s="170" t="s">
        <v>206</v>
      </c>
      <c r="I9" s="171"/>
      <c r="J9" s="172"/>
    </row>
    <row r="10" spans="1:10" ht="18" customHeight="1">
      <c r="C10" s="170" t="s">
        <v>150</v>
      </c>
      <c r="D10" s="171"/>
      <c r="E10" s="172"/>
      <c r="F10" s="88"/>
    </row>
    <row r="11" spans="1:10" ht="18" customHeight="1">
      <c r="H11" s="173"/>
      <c r="I11" s="174"/>
    </row>
    <row r="12" spans="1:10" ht="18" customHeight="1">
      <c r="A12" s="89" t="s">
        <v>149</v>
      </c>
      <c r="B12" s="51" t="s">
        <v>148</v>
      </c>
      <c r="C12" s="90">
        <v>25</v>
      </c>
      <c r="D12" s="91"/>
      <c r="F12" s="165" t="s">
        <v>131</v>
      </c>
      <c r="G12" s="175"/>
      <c r="H12" s="176">
        <v>15400000</v>
      </c>
      <c r="I12" s="177"/>
    </row>
    <row r="13" spans="1:10" ht="22.05" customHeight="1">
      <c r="A13" s="89"/>
      <c r="C13" s="93" t="s">
        <v>143</v>
      </c>
      <c r="H13" s="178" t="s">
        <v>146</v>
      </c>
      <c r="I13" s="178"/>
      <c r="J13" s="92"/>
    </row>
    <row r="14" spans="1:10" ht="18" customHeight="1">
      <c r="A14" s="89" t="s">
        <v>147</v>
      </c>
      <c r="B14" s="51" t="s">
        <v>180</v>
      </c>
      <c r="C14" s="148">
        <f>E7-C12</f>
        <v>-25</v>
      </c>
      <c r="D14" s="92" t="s">
        <v>144</v>
      </c>
      <c r="E14" s="94">
        <v>380000</v>
      </c>
      <c r="F14" s="179" t="s">
        <v>131</v>
      </c>
      <c r="G14" s="175"/>
      <c r="H14" s="180">
        <f>C14*E14</f>
        <v>-9500000</v>
      </c>
      <c r="I14" s="181"/>
      <c r="J14" s="95"/>
    </row>
    <row r="15" spans="1:10" ht="22.05" customHeight="1">
      <c r="A15" s="89"/>
      <c r="B15" s="96" t="s">
        <v>182</v>
      </c>
      <c r="C15" s="93" t="s">
        <v>143</v>
      </c>
      <c r="D15" s="97"/>
      <c r="E15" s="96" t="s">
        <v>184</v>
      </c>
      <c r="F15" s="165"/>
      <c r="G15" s="166"/>
      <c r="H15" s="167"/>
      <c r="I15" s="167"/>
      <c r="J15" s="92"/>
    </row>
    <row r="16" spans="1:10" ht="18" customHeight="1">
      <c r="A16" s="89"/>
      <c r="C16" s="150"/>
      <c r="D16" s="92"/>
      <c r="E16" s="151"/>
      <c r="F16" s="165"/>
      <c r="G16" s="166"/>
      <c r="H16" s="187" t="s">
        <v>142</v>
      </c>
      <c r="I16" s="187"/>
      <c r="J16" s="95"/>
    </row>
    <row r="17" spans="1:10" ht="22.05" customHeight="1" thickBot="1">
      <c r="A17" s="89"/>
      <c r="B17" s="98"/>
      <c r="C17" s="93"/>
      <c r="D17" s="97"/>
      <c r="E17" s="96"/>
      <c r="F17" s="165"/>
      <c r="G17" s="166"/>
      <c r="H17" s="187"/>
      <c r="I17" s="187"/>
      <c r="J17" s="92"/>
    </row>
    <row r="18" spans="1:10" ht="22.05" customHeight="1" thickBot="1">
      <c r="A18" s="188" t="s">
        <v>211</v>
      </c>
      <c r="B18" s="189"/>
      <c r="C18" s="189"/>
      <c r="D18" s="189"/>
      <c r="E18" s="189"/>
      <c r="F18" s="190" t="s">
        <v>131</v>
      </c>
      <c r="G18" s="191"/>
      <c r="H18" s="192">
        <f>H12+H14</f>
        <v>5900000</v>
      </c>
      <c r="I18" s="193"/>
      <c r="J18" s="92"/>
    </row>
    <row r="19" spans="1:10" ht="22.05" customHeight="1">
      <c r="A19" s="89"/>
      <c r="B19" s="99"/>
      <c r="C19" s="100"/>
      <c r="D19" s="95"/>
      <c r="E19" s="101"/>
      <c r="F19" s="165"/>
      <c r="G19" s="166"/>
      <c r="H19" s="194"/>
      <c r="I19" s="194"/>
      <c r="J19" s="92"/>
    </row>
    <row r="20" spans="1:10" ht="18" customHeight="1">
      <c r="A20" s="89" t="s">
        <v>145</v>
      </c>
      <c r="B20" s="51" t="s">
        <v>140</v>
      </c>
      <c r="C20" s="195" t="s">
        <v>139</v>
      </c>
      <c r="D20" s="196"/>
      <c r="E20" s="196"/>
      <c r="F20" s="196"/>
      <c r="G20" s="196"/>
      <c r="H20" s="196"/>
      <c r="I20" s="102"/>
      <c r="J20" s="95"/>
    </row>
    <row r="21" spans="1:10" ht="18" customHeight="1">
      <c r="B21" s="197" t="s">
        <v>17</v>
      </c>
      <c r="C21" s="198"/>
      <c r="D21" s="198"/>
      <c r="E21" s="103" t="s">
        <v>1</v>
      </c>
      <c r="F21" s="103" t="s">
        <v>2</v>
      </c>
      <c r="G21" s="103" t="s">
        <v>3</v>
      </c>
      <c r="H21" s="197" t="s">
        <v>138</v>
      </c>
      <c r="I21" s="199"/>
      <c r="J21" s="95"/>
    </row>
    <row r="22" spans="1:10" ht="18" customHeight="1">
      <c r="B22" s="182" t="str">
        <f>抽出オプション!A3</f>
        <v>建具追加（3尺巾）</v>
      </c>
      <c r="C22" s="183"/>
      <c r="D22" s="184"/>
      <c r="E22" s="104">
        <f>抽出オプション!B3</f>
        <v>30000</v>
      </c>
      <c r="F22" s="105" t="str">
        <f>抽出オプション!C3</f>
        <v>円</v>
      </c>
      <c r="G22" s="106">
        <f>抽出オプション!D3</f>
        <v>2</v>
      </c>
      <c r="H22" s="185">
        <f>抽出オプション!E3</f>
        <v>60000</v>
      </c>
      <c r="I22" s="186"/>
    </row>
    <row r="23" spans="1:10" ht="18" customHeight="1">
      <c r="B23" s="182" t="str">
        <f>抽出オプション!A4</f>
        <v>3尺可動棚追加</v>
      </c>
      <c r="C23" s="183"/>
      <c r="D23" s="184"/>
      <c r="E23" s="104">
        <f>抽出オプション!B4</f>
        <v>26000</v>
      </c>
      <c r="F23" s="105" t="str">
        <f>抽出オプション!C4</f>
        <v>ヵ所</v>
      </c>
      <c r="G23" s="106">
        <f>抽出オプション!D4</f>
        <v>1</v>
      </c>
      <c r="H23" s="185">
        <f>抽出オプション!E4</f>
        <v>26000</v>
      </c>
      <c r="I23" s="186"/>
    </row>
    <row r="24" spans="1:10" ht="18" customHeight="1">
      <c r="B24" s="182" t="str">
        <f>抽出オプション!A5</f>
        <v>6尺可動棚追加</v>
      </c>
      <c r="C24" s="183"/>
      <c r="D24" s="184"/>
      <c r="E24" s="104">
        <f>抽出オプション!B5</f>
        <v>39000</v>
      </c>
      <c r="F24" s="105" t="str">
        <f>抽出オプション!C5</f>
        <v>ヵ所</v>
      </c>
      <c r="G24" s="106">
        <f>抽出オプション!D5</f>
        <v>1</v>
      </c>
      <c r="H24" s="185">
        <f>抽出オプション!E5</f>
        <v>39000</v>
      </c>
      <c r="I24" s="186"/>
    </row>
    <row r="25" spans="1:10" ht="18" customHeight="1">
      <c r="B25" s="182" t="str">
        <f>抽出オプション!A6</f>
        <v>6尺枕棚＋ハンガーパイプ</v>
      </c>
      <c r="C25" s="183"/>
      <c r="D25" s="184"/>
      <c r="E25" s="104">
        <f>抽出オプション!B6</f>
        <v>14800</v>
      </c>
      <c r="F25" s="105" t="str">
        <f>抽出オプション!C6</f>
        <v>式</v>
      </c>
      <c r="G25" s="106">
        <f>抽出オプション!D6</f>
        <v>1</v>
      </c>
      <c r="H25" s="185">
        <f>抽出オプション!E6</f>
        <v>14800</v>
      </c>
      <c r="I25" s="186"/>
    </row>
    <row r="26" spans="1:10" ht="18" customHeight="1">
      <c r="B26" s="182" t="str">
        <f>抽出オプション!A7</f>
        <v>オプション工事予算</v>
      </c>
      <c r="C26" s="183"/>
      <c r="D26" s="184"/>
      <c r="E26" s="104">
        <f>抽出オプション!B7</f>
        <v>1640000</v>
      </c>
      <c r="F26" s="105" t="str">
        <f>抽出オプション!C7</f>
        <v>式</v>
      </c>
      <c r="G26" s="106">
        <f>抽出オプション!D7</f>
        <v>1</v>
      </c>
      <c r="H26" s="185">
        <f>抽出オプション!E7</f>
        <v>1640000</v>
      </c>
      <c r="I26" s="186"/>
    </row>
    <row r="27" spans="1:10" ht="18" customHeight="1">
      <c r="B27" s="182" t="str">
        <f>抽出オプション!A8</f>
        <v/>
      </c>
      <c r="C27" s="183"/>
      <c r="D27" s="184"/>
      <c r="E27" s="104" t="str">
        <f>抽出オプション!B8</f>
        <v/>
      </c>
      <c r="F27" s="105" t="str">
        <f>抽出オプション!C8</f>
        <v/>
      </c>
      <c r="G27" s="106" t="str">
        <f>抽出オプション!D8</f>
        <v/>
      </c>
      <c r="H27" s="185" t="str">
        <f>抽出オプション!E8</f>
        <v/>
      </c>
      <c r="I27" s="186"/>
    </row>
    <row r="28" spans="1:10" ht="18" customHeight="1">
      <c r="B28" s="182" t="str">
        <f>抽出オプション!A9</f>
        <v/>
      </c>
      <c r="C28" s="183"/>
      <c r="D28" s="184"/>
      <c r="E28" s="104" t="str">
        <f>抽出オプション!B9</f>
        <v/>
      </c>
      <c r="F28" s="105" t="str">
        <f>抽出オプション!C9</f>
        <v/>
      </c>
      <c r="G28" s="106" t="str">
        <f>抽出オプション!D9</f>
        <v/>
      </c>
      <c r="H28" s="185" t="str">
        <f>抽出オプション!E9</f>
        <v/>
      </c>
      <c r="I28" s="186"/>
    </row>
    <row r="29" spans="1:10" ht="18" customHeight="1">
      <c r="B29" s="182" t="str">
        <f>抽出オプション!A10</f>
        <v/>
      </c>
      <c r="C29" s="183"/>
      <c r="D29" s="184"/>
      <c r="E29" s="104" t="str">
        <f>抽出オプション!B10</f>
        <v/>
      </c>
      <c r="F29" s="105" t="str">
        <f>抽出オプション!C10</f>
        <v/>
      </c>
      <c r="G29" s="106" t="str">
        <f>抽出オプション!D10</f>
        <v/>
      </c>
      <c r="H29" s="185" t="str">
        <f>抽出オプション!E10</f>
        <v/>
      </c>
      <c r="I29" s="186"/>
    </row>
    <row r="30" spans="1:10" ht="18" customHeight="1">
      <c r="B30" s="182" t="str">
        <f>抽出オプション!A11</f>
        <v/>
      </c>
      <c r="C30" s="183"/>
      <c r="D30" s="184"/>
      <c r="E30" s="104" t="str">
        <f>抽出オプション!B11</f>
        <v/>
      </c>
      <c r="F30" s="105" t="str">
        <f>抽出オプション!C11</f>
        <v/>
      </c>
      <c r="G30" s="106" t="str">
        <f>抽出オプション!D11</f>
        <v/>
      </c>
      <c r="H30" s="185" t="str">
        <f>抽出オプション!E11</f>
        <v/>
      </c>
      <c r="I30" s="186"/>
    </row>
    <row r="31" spans="1:10" ht="18" customHeight="1">
      <c r="B31" s="182" t="str">
        <f>抽出オプション!A12</f>
        <v/>
      </c>
      <c r="C31" s="183"/>
      <c r="D31" s="184"/>
      <c r="E31" s="104" t="str">
        <f>抽出オプション!B12</f>
        <v/>
      </c>
      <c r="F31" s="105" t="str">
        <f>抽出オプション!C12</f>
        <v/>
      </c>
      <c r="G31" s="106" t="str">
        <f>抽出オプション!D12</f>
        <v/>
      </c>
      <c r="H31" s="185" t="str">
        <f>抽出オプション!E12</f>
        <v/>
      </c>
      <c r="I31" s="186"/>
    </row>
    <row r="32" spans="1:10" ht="18" customHeight="1">
      <c r="B32" s="182" t="str">
        <f>抽出オプション!A13</f>
        <v/>
      </c>
      <c r="C32" s="183"/>
      <c r="D32" s="184"/>
      <c r="E32" s="104" t="str">
        <f>抽出オプション!B13</f>
        <v/>
      </c>
      <c r="F32" s="105" t="str">
        <f>抽出オプション!C13</f>
        <v/>
      </c>
      <c r="G32" s="106" t="str">
        <f>抽出オプション!D13</f>
        <v/>
      </c>
      <c r="H32" s="185" t="str">
        <f>抽出オプション!E13</f>
        <v/>
      </c>
      <c r="I32" s="186"/>
    </row>
    <row r="33" spans="2:11" ht="18" customHeight="1">
      <c r="B33" s="182" t="str">
        <f>抽出オプション!A14</f>
        <v/>
      </c>
      <c r="C33" s="183"/>
      <c r="D33" s="184"/>
      <c r="E33" s="104" t="str">
        <f>抽出オプション!B14</f>
        <v/>
      </c>
      <c r="F33" s="105" t="str">
        <f>抽出オプション!C14</f>
        <v/>
      </c>
      <c r="G33" s="106" t="str">
        <f>抽出オプション!D14</f>
        <v/>
      </c>
      <c r="H33" s="185" t="str">
        <f>抽出オプション!E14</f>
        <v/>
      </c>
      <c r="I33" s="186"/>
    </row>
    <row r="34" spans="2:11" ht="18" customHeight="1">
      <c r="B34" s="182" t="str">
        <f>抽出オプション!A15</f>
        <v/>
      </c>
      <c r="C34" s="183"/>
      <c r="D34" s="184"/>
      <c r="E34" s="104" t="str">
        <f>抽出オプション!B15</f>
        <v/>
      </c>
      <c r="F34" s="105" t="str">
        <f>抽出オプション!C15</f>
        <v/>
      </c>
      <c r="G34" s="106" t="str">
        <f>抽出オプション!D15</f>
        <v/>
      </c>
      <c r="H34" s="185" t="str">
        <f>抽出オプション!E15</f>
        <v/>
      </c>
      <c r="I34" s="186"/>
    </row>
    <row r="35" spans="2:11" ht="18" customHeight="1">
      <c r="B35" s="182" t="str">
        <f>抽出オプション!A16</f>
        <v/>
      </c>
      <c r="C35" s="183"/>
      <c r="D35" s="184"/>
      <c r="E35" s="104" t="str">
        <f>抽出オプション!B16</f>
        <v/>
      </c>
      <c r="F35" s="105" t="str">
        <f>抽出オプション!C16</f>
        <v/>
      </c>
      <c r="G35" s="106" t="str">
        <f>抽出オプション!D16</f>
        <v/>
      </c>
      <c r="H35" s="185" t="str">
        <f>抽出オプション!E16</f>
        <v/>
      </c>
      <c r="I35" s="186"/>
    </row>
    <row r="36" spans="2:11" ht="18" customHeight="1">
      <c r="B36" s="182" t="str">
        <f>抽出オプション!A17</f>
        <v/>
      </c>
      <c r="C36" s="183"/>
      <c r="D36" s="184"/>
      <c r="E36" s="104" t="str">
        <f>抽出オプション!B17</f>
        <v/>
      </c>
      <c r="F36" s="105" t="str">
        <f>抽出オプション!C17</f>
        <v/>
      </c>
      <c r="G36" s="106" t="str">
        <f>抽出オプション!D17</f>
        <v/>
      </c>
      <c r="H36" s="185" t="str">
        <f>抽出オプション!E17</f>
        <v/>
      </c>
      <c r="I36" s="186"/>
    </row>
    <row r="37" spans="2:11" ht="18" customHeight="1">
      <c r="B37" s="182" t="str">
        <f>抽出オプション!A18</f>
        <v/>
      </c>
      <c r="C37" s="183"/>
      <c r="D37" s="184"/>
      <c r="E37" s="104" t="str">
        <f>抽出オプション!B18</f>
        <v/>
      </c>
      <c r="F37" s="105" t="str">
        <f>抽出オプション!C18</f>
        <v/>
      </c>
      <c r="G37" s="106" t="str">
        <f>抽出オプション!D18</f>
        <v/>
      </c>
      <c r="H37" s="185" t="str">
        <f>抽出オプション!E18</f>
        <v/>
      </c>
      <c r="I37" s="186"/>
    </row>
    <row r="38" spans="2:11" ht="18" customHeight="1">
      <c r="B38" s="182" t="str">
        <f>抽出オプション!A19</f>
        <v/>
      </c>
      <c r="C38" s="183"/>
      <c r="D38" s="184"/>
      <c r="E38" s="104" t="str">
        <f>抽出オプション!B19</f>
        <v/>
      </c>
      <c r="F38" s="105" t="str">
        <f>抽出オプション!C19</f>
        <v/>
      </c>
      <c r="G38" s="106" t="str">
        <f>抽出オプション!D19</f>
        <v/>
      </c>
      <c r="H38" s="185" t="str">
        <f>抽出オプション!E19</f>
        <v/>
      </c>
      <c r="I38" s="186"/>
    </row>
    <row r="39" spans="2:11" ht="18" customHeight="1" thickBot="1">
      <c r="B39" s="182" t="str">
        <f>抽出オプション!A20</f>
        <v/>
      </c>
      <c r="C39" s="183"/>
      <c r="D39" s="184"/>
      <c r="E39" s="104" t="str">
        <f>抽出オプション!B20</f>
        <v/>
      </c>
      <c r="F39" s="105" t="str">
        <f>抽出オプション!C20</f>
        <v/>
      </c>
      <c r="G39" s="106" t="str">
        <f>抽出オプション!D20</f>
        <v/>
      </c>
      <c r="H39" s="185" t="str">
        <f>抽出オプション!E20</f>
        <v/>
      </c>
      <c r="I39" s="186"/>
    </row>
    <row r="40" spans="2:11" ht="18" customHeight="1" thickBot="1">
      <c r="B40" s="107" t="s">
        <v>137</v>
      </c>
      <c r="C40" s="108"/>
      <c r="D40" s="108"/>
      <c r="E40" s="109"/>
      <c r="F40" s="219" t="s">
        <v>131</v>
      </c>
      <c r="G40" s="220"/>
      <c r="H40" s="221">
        <f>全オプション!E1</f>
        <v>1779800</v>
      </c>
      <c r="I40" s="222"/>
      <c r="J40" s="95"/>
      <c r="K40" s="52">
        <f>SUM(H21:I39)</f>
        <v>1779800</v>
      </c>
    </row>
    <row r="41" spans="2:11" ht="18" customHeight="1" thickBot="1">
      <c r="H41" s="110"/>
      <c r="I41" s="110"/>
    </row>
    <row r="42" spans="2:11" ht="18" customHeight="1" thickTop="1" thickBot="1">
      <c r="B42" s="111" t="s">
        <v>133</v>
      </c>
      <c r="C42" s="112" t="s">
        <v>136</v>
      </c>
      <c r="D42" s="212" t="s">
        <v>212</v>
      </c>
      <c r="E42" s="213"/>
      <c r="F42" s="200" t="s">
        <v>131</v>
      </c>
      <c r="G42" s="200"/>
      <c r="H42" s="201">
        <f>ROUNDDOWN(H18+H40,-4)</f>
        <v>7670000</v>
      </c>
      <c r="I42" s="202"/>
      <c r="J42" s="95"/>
    </row>
    <row r="43" spans="2:11" ht="18" customHeight="1" thickTop="1">
      <c r="B43" s="113"/>
      <c r="H43" s="214" t="s">
        <v>178</v>
      </c>
      <c r="I43" s="215"/>
    </row>
    <row r="44" spans="2:11" ht="18" customHeight="1">
      <c r="B44" s="111" t="s">
        <v>135</v>
      </c>
      <c r="C44" s="114" t="s">
        <v>134</v>
      </c>
      <c r="F44" s="200" t="s">
        <v>131</v>
      </c>
      <c r="G44" s="216"/>
      <c r="H44" s="217">
        <f>ROUNDDOWN(H42*0.1,0)</f>
        <v>767000</v>
      </c>
      <c r="I44" s="218"/>
      <c r="J44" s="95"/>
    </row>
    <row r="45" spans="2:11" ht="18" customHeight="1" thickBot="1">
      <c r="B45" s="113"/>
      <c r="H45" s="115"/>
      <c r="I45" s="115"/>
    </row>
    <row r="46" spans="2:11" ht="18" customHeight="1" thickTop="1" thickBot="1">
      <c r="B46" s="111" t="s">
        <v>133</v>
      </c>
      <c r="C46" s="112" t="s">
        <v>132</v>
      </c>
      <c r="F46" s="200" t="s">
        <v>131</v>
      </c>
      <c r="G46" s="200"/>
      <c r="H46" s="201">
        <f>H42+H44</f>
        <v>8437000</v>
      </c>
      <c r="I46" s="202"/>
      <c r="J46" s="95"/>
    </row>
    <row r="47" spans="2:11" ht="15" thickTop="1"/>
  </sheetData>
  <mergeCells count="77">
    <mergeCell ref="F46:G46"/>
    <mergeCell ref="H46:I46"/>
    <mergeCell ref="C7:D9"/>
    <mergeCell ref="E7:E9"/>
    <mergeCell ref="D42:E42"/>
    <mergeCell ref="F42:G42"/>
    <mergeCell ref="H42:I42"/>
    <mergeCell ref="H43:I43"/>
    <mergeCell ref="F44:G44"/>
    <mergeCell ref="H44:I44"/>
    <mergeCell ref="B38:D38"/>
    <mergeCell ref="H38:I38"/>
    <mergeCell ref="B39:D39"/>
    <mergeCell ref="H39:I39"/>
    <mergeCell ref="F40:G40"/>
    <mergeCell ref="H40:I40"/>
    <mergeCell ref="B35:D35"/>
    <mergeCell ref="H35:I35"/>
    <mergeCell ref="B36:D36"/>
    <mergeCell ref="H36:I36"/>
    <mergeCell ref="B37:D37"/>
    <mergeCell ref="H37:I37"/>
    <mergeCell ref="B32:D32"/>
    <mergeCell ref="H32:I32"/>
    <mergeCell ref="B33:D33"/>
    <mergeCell ref="H33:I33"/>
    <mergeCell ref="B34:D34"/>
    <mergeCell ref="H34:I34"/>
    <mergeCell ref="B29:D29"/>
    <mergeCell ref="H29:I29"/>
    <mergeCell ref="B30:D30"/>
    <mergeCell ref="H30:I30"/>
    <mergeCell ref="B31:D31"/>
    <mergeCell ref="H31:I31"/>
    <mergeCell ref="B26:D26"/>
    <mergeCell ref="H26:I26"/>
    <mergeCell ref="B27:D27"/>
    <mergeCell ref="H27:I27"/>
    <mergeCell ref="B28:D28"/>
    <mergeCell ref="H28:I28"/>
    <mergeCell ref="B23:D23"/>
    <mergeCell ref="H23:I23"/>
    <mergeCell ref="B24:D24"/>
    <mergeCell ref="H24:I24"/>
    <mergeCell ref="B25:D25"/>
    <mergeCell ref="H25:I25"/>
    <mergeCell ref="B22:D22"/>
    <mergeCell ref="H22:I22"/>
    <mergeCell ref="F16:G16"/>
    <mergeCell ref="H16:I16"/>
    <mergeCell ref="F17:G17"/>
    <mergeCell ref="H17:I17"/>
    <mergeCell ref="A18:E18"/>
    <mergeCell ref="F18:G18"/>
    <mergeCell ref="H18:I18"/>
    <mergeCell ref="F19:G19"/>
    <mergeCell ref="H19:I19"/>
    <mergeCell ref="C20:H20"/>
    <mergeCell ref="B21:D21"/>
    <mergeCell ref="H21:I21"/>
    <mergeCell ref="F15:G15"/>
    <mergeCell ref="H15:I15"/>
    <mergeCell ref="H8:I8"/>
    <mergeCell ref="H9:J9"/>
    <mergeCell ref="C10:E10"/>
    <mergeCell ref="H11:I11"/>
    <mergeCell ref="F12:G12"/>
    <mergeCell ref="H12:I12"/>
    <mergeCell ref="H13:I13"/>
    <mergeCell ref="F14:G14"/>
    <mergeCell ref="H14:I14"/>
    <mergeCell ref="H7:I7"/>
    <mergeCell ref="B2:I2"/>
    <mergeCell ref="I3:J3"/>
    <mergeCell ref="B4:D4"/>
    <mergeCell ref="H4:J4"/>
    <mergeCell ref="B5:E5"/>
  </mergeCells>
  <phoneticPr fontId="2"/>
  <pageMargins left="1.0236220472440944" right="0.23622047244094491" top="0.35433070866141736" bottom="0.55118110236220474" header="0.31496062992125984" footer="0.31496062992125984"/>
  <pageSetup paperSize="9" scale="86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512B-2A6C-4300-8C67-F155FB28C7E5}">
  <sheetPr>
    <tabColor rgb="FFFF0000"/>
    <pageSetUpPr fitToPage="1"/>
  </sheetPr>
  <dimension ref="A1:K47"/>
  <sheetViews>
    <sheetView view="pageBreakPreview" topLeftCell="B38" zoomScale="94" zoomScaleNormal="100" zoomScaleSheetLayoutView="136" workbookViewId="0">
      <selection activeCell="I47" sqref="I47:J48"/>
    </sheetView>
  </sheetViews>
  <sheetFormatPr defaultColWidth="8.19921875" defaultRowHeight="14.4"/>
  <cols>
    <col min="1" max="1" width="3.296875" style="51" customWidth="1"/>
    <col min="2" max="2" width="17" style="51" customWidth="1"/>
    <col min="3" max="3" width="10.59765625" style="51" customWidth="1"/>
    <col min="4" max="4" width="8.19921875" style="51"/>
    <col min="5" max="5" width="11.296875" style="51" customWidth="1"/>
    <col min="6" max="6" width="5.09765625" style="51" customWidth="1"/>
    <col min="7" max="7" width="5.69921875" style="51" customWidth="1"/>
    <col min="8" max="9" width="8.19921875" style="51"/>
    <col min="10" max="10" width="3.296875" style="51" customWidth="1"/>
    <col min="11" max="242" width="8.19921875" style="51"/>
    <col min="243" max="243" width="5.09765625" style="51" customWidth="1"/>
    <col min="244" max="244" width="3.296875" style="51" customWidth="1"/>
    <col min="245" max="245" width="18.796875" style="51" customWidth="1"/>
    <col min="246" max="246" width="11.296875" style="51" customWidth="1"/>
    <col min="247" max="247" width="8.19921875" style="51"/>
    <col min="248" max="248" width="10.59765625" style="51" customWidth="1"/>
    <col min="249" max="249" width="3.296875" style="51" customWidth="1"/>
    <col min="250" max="250" width="5.09765625" style="51" customWidth="1"/>
    <col min="251" max="252" width="8.19921875" style="51"/>
    <col min="253" max="254" width="3.296875" style="51" customWidth="1"/>
    <col min="255" max="255" width="8.5" style="51" bestFit="1" customWidth="1"/>
    <col min="256" max="256" width="9.09765625" style="51" bestFit="1" customWidth="1"/>
    <col min="257" max="498" width="8.19921875" style="51"/>
    <col min="499" max="499" width="5.09765625" style="51" customWidth="1"/>
    <col min="500" max="500" width="3.296875" style="51" customWidth="1"/>
    <col min="501" max="501" width="18.796875" style="51" customWidth="1"/>
    <col min="502" max="502" width="11.296875" style="51" customWidth="1"/>
    <col min="503" max="503" width="8.19921875" style="51"/>
    <col min="504" max="504" width="10.59765625" style="51" customWidth="1"/>
    <col min="505" max="505" width="3.296875" style="51" customWidth="1"/>
    <col min="506" max="506" width="5.09765625" style="51" customWidth="1"/>
    <col min="507" max="508" width="8.19921875" style="51"/>
    <col min="509" max="510" width="3.296875" style="51" customWidth="1"/>
    <col min="511" max="511" width="8.5" style="51" bestFit="1" customWidth="1"/>
    <col min="512" max="512" width="9.09765625" style="51" bestFit="1" customWidth="1"/>
    <col min="513" max="754" width="8.19921875" style="51"/>
    <col min="755" max="755" width="5.09765625" style="51" customWidth="1"/>
    <col min="756" max="756" width="3.296875" style="51" customWidth="1"/>
    <col min="757" max="757" width="18.796875" style="51" customWidth="1"/>
    <col min="758" max="758" width="11.296875" style="51" customWidth="1"/>
    <col min="759" max="759" width="8.19921875" style="51"/>
    <col min="760" max="760" width="10.59765625" style="51" customWidth="1"/>
    <col min="761" max="761" width="3.296875" style="51" customWidth="1"/>
    <col min="762" max="762" width="5.09765625" style="51" customWidth="1"/>
    <col min="763" max="764" width="8.19921875" style="51"/>
    <col min="765" max="766" width="3.296875" style="51" customWidth="1"/>
    <col min="767" max="767" width="8.5" style="51" bestFit="1" customWidth="1"/>
    <col min="768" max="768" width="9.09765625" style="51" bestFit="1" customWidth="1"/>
    <col min="769" max="1010" width="8.19921875" style="51"/>
    <col min="1011" max="1011" width="5.09765625" style="51" customWidth="1"/>
    <col min="1012" max="1012" width="3.296875" style="51" customWidth="1"/>
    <col min="1013" max="1013" width="18.796875" style="51" customWidth="1"/>
    <col min="1014" max="1014" width="11.296875" style="51" customWidth="1"/>
    <col min="1015" max="1015" width="8.19921875" style="51"/>
    <col min="1016" max="1016" width="10.59765625" style="51" customWidth="1"/>
    <col min="1017" max="1017" width="3.296875" style="51" customWidth="1"/>
    <col min="1018" max="1018" width="5.09765625" style="51" customWidth="1"/>
    <col min="1019" max="1020" width="8.19921875" style="51"/>
    <col min="1021" max="1022" width="3.296875" style="51" customWidth="1"/>
    <col min="1023" max="1023" width="8.5" style="51" bestFit="1" customWidth="1"/>
    <col min="1024" max="1024" width="9.09765625" style="51" bestFit="1" customWidth="1"/>
    <col min="1025" max="1266" width="8.19921875" style="51"/>
    <col min="1267" max="1267" width="5.09765625" style="51" customWidth="1"/>
    <col min="1268" max="1268" width="3.296875" style="51" customWidth="1"/>
    <col min="1269" max="1269" width="18.796875" style="51" customWidth="1"/>
    <col min="1270" max="1270" width="11.296875" style="51" customWidth="1"/>
    <col min="1271" max="1271" width="8.19921875" style="51"/>
    <col min="1272" max="1272" width="10.59765625" style="51" customWidth="1"/>
    <col min="1273" max="1273" width="3.296875" style="51" customWidth="1"/>
    <col min="1274" max="1274" width="5.09765625" style="51" customWidth="1"/>
    <col min="1275" max="1276" width="8.19921875" style="51"/>
    <col min="1277" max="1278" width="3.296875" style="51" customWidth="1"/>
    <col min="1279" max="1279" width="8.5" style="51" bestFit="1" customWidth="1"/>
    <col min="1280" max="1280" width="9.09765625" style="51" bestFit="1" customWidth="1"/>
    <col min="1281" max="1522" width="8.19921875" style="51"/>
    <col min="1523" max="1523" width="5.09765625" style="51" customWidth="1"/>
    <col min="1524" max="1524" width="3.296875" style="51" customWidth="1"/>
    <col min="1525" max="1525" width="18.796875" style="51" customWidth="1"/>
    <col min="1526" max="1526" width="11.296875" style="51" customWidth="1"/>
    <col min="1527" max="1527" width="8.19921875" style="51"/>
    <col min="1528" max="1528" width="10.59765625" style="51" customWidth="1"/>
    <col min="1529" max="1529" width="3.296875" style="51" customWidth="1"/>
    <col min="1530" max="1530" width="5.09765625" style="51" customWidth="1"/>
    <col min="1531" max="1532" width="8.19921875" style="51"/>
    <col min="1533" max="1534" width="3.296875" style="51" customWidth="1"/>
    <col min="1535" max="1535" width="8.5" style="51" bestFit="1" customWidth="1"/>
    <col min="1536" max="1536" width="9.09765625" style="51" bestFit="1" customWidth="1"/>
    <col min="1537" max="1778" width="8.19921875" style="51"/>
    <col min="1779" max="1779" width="5.09765625" style="51" customWidth="1"/>
    <col min="1780" max="1780" width="3.296875" style="51" customWidth="1"/>
    <col min="1781" max="1781" width="18.796875" style="51" customWidth="1"/>
    <col min="1782" max="1782" width="11.296875" style="51" customWidth="1"/>
    <col min="1783" max="1783" width="8.19921875" style="51"/>
    <col min="1784" max="1784" width="10.59765625" style="51" customWidth="1"/>
    <col min="1785" max="1785" width="3.296875" style="51" customWidth="1"/>
    <col min="1786" max="1786" width="5.09765625" style="51" customWidth="1"/>
    <col min="1787" max="1788" width="8.19921875" style="51"/>
    <col min="1789" max="1790" width="3.296875" style="51" customWidth="1"/>
    <col min="1791" max="1791" width="8.5" style="51" bestFit="1" customWidth="1"/>
    <col min="1792" max="1792" width="9.09765625" style="51" bestFit="1" customWidth="1"/>
    <col min="1793" max="2034" width="8.19921875" style="51"/>
    <col min="2035" max="2035" width="5.09765625" style="51" customWidth="1"/>
    <col min="2036" max="2036" width="3.296875" style="51" customWidth="1"/>
    <col min="2037" max="2037" width="18.796875" style="51" customWidth="1"/>
    <col min="2038" max="2038" width="11.296875" style="51" customWidth="1"/>
    <col min="2039" max="2039" width="8.19921875" style="51"/>
    <col min="2040" max="2040" width="10.59765625" style="51" customWidth="1"/>
    <col min="2041" max="2041" width="3.296875" style="51" customWidth="1"/>
    <col min="2042" max="2042" width="5.09765625" style="51" customWidth="1"/>
    <col min="2043" max="2044" width="8.19921875" style="51"/>
    <col min="2045" max="2046" width="3.296875" style="51" customWidth="1"/>
    <col min="2047" max="2047" width="8.5" style="51" bestFit="1" customWidth="1"/>
    <col min="2048" max="2048" width="9.09765625" style="51" bestFit="1" customWidth="1"/>
    <col min="2049" max="2290" width="8.19921875" style="51"/>
    <col min="2291" max="2291" width="5.09765625" style="51" customWidth="1"/>
    <col min="2292" max="2292" width="3.296875" style="51" customWidth="1"/>
    <col min="2293" max="2293" width="18.796875" style="51" customWidth="1"/>
    <col min="2294" max="2294" width="11.296875" style="51" customWidth="1"/>
    <col min="2295" max="2295" width="8.19921875" style="51"/>
    <col min="2296" max="2296" width="10.59765625" style="51" customWidth="1"/>
    <col min="2297" max="2297" width="3.296875" style="51" customWidth="1"/>
    <col min="2298" max="2298" width="5.09765625" style="51" customWidth="1"/>
    <col min="2299" max="2300" width="8.19921875" style="51"/>
    <col min="2301" max="2302" width="3.296875" style="51" customWidth="1"/>
    <col min="2303" max="2303" width="8.5" style="51" bestFit="1" customWidth="1"/>
    <col min="2304" max="2304" width="9.09765625" style="51" bestFit="1" customWidth="1"/>
    <col min="2305" max="2546" width="8.19921875" style="51"/>
    <col min="2547" max="2547" width="5.09765625" style="51" customWidth="1"/>
    <col min="2548" max="2548" width="3.296875" style="51" customWidth="1"/>
    <col min="2549" max="2549" width="18.796875" style="51" customWidth="1"/>
    <col min="2550" max="2550" width="11.296875" style="51" customWidth="1"/>
    <col min="2551" max="2551" width="8.19921875" style="51"/>
    <col min="2552" max="2552" width="10.59765625" style="51" customWidth="1"/>
    <col min="2553" max="2553" width="3.296875" style="51" customWidth="1"/>
    <col min="2554" max="2554" width="5.09765625" style="51" customWidth="1"/>
    <col min="2555" max="2556" width="8.19921875" style="51"/>
    <col min="2557" max="2558" width="3.296875" style="51" customWidth="1"/>
    <col min="2559" max="2559" width="8.5" style="51" bestFit="1" customWidth="1"/>
    <col min="2560" max="2560" width="9.09765625" style="51" bestFit="1" customWidth="1"/>
    <col min="2561" max="2802" width="8.19921875" style="51"/>
    <col min="2803" max="2803" width="5.09765625" style="51" customWidth="1"/>
    <col min="2804" max="2804" width="3.296875" style="51" customWidth="1"/>
    <col min="2805" max="2805" width="18.796875" style="51" customWidth="1"/>
    <col min="2806" max="2806" width="11.296875" style="51" customWidth="1"/>
    <col min="2807" max="2807" width="8.19921875" style="51"/>
    <col min="2808" max="2808" width="10.59765625" style="51" customWidth="1"/>
    <col min="2809" max="2809" width="3.296875" style="51" customWidth="1"/>
    <col min="2810" max="2810" width="5.09765625" style="51" customWidth="1"/>
    <col min="2811" max="2812" width="8.19921875" style="51"/>
    <col min="2813" max="2814" width="3.296875" style="51" customWidth="1"/>
    <col min="2815" max="2815" width="8.5" style="51" bestFit="1" customWidth="1"/>
    <col min="2816" max="2816" width="9.09765625" style="51" bestFit="1" customWidth="1"/>
    <col min="2817" max="3058" width="8.19921875" style="51"/>
    <col min="3059" max="3059" width="5.09765625" style="51" customWidth="1"/>
    <col min="3060" max="3060" width="3.296875" style="51" customWidth="1"/>
    <col min="3061" max="3061" width="18.796875" style="51" customWidth="1"/>
    <col min="3062" max="3062" width="11.296875" style="51" customWidth="1"/>
    <col min="3063" max="3063" width="8.19921875" style="51"/>
    <col min="3064" max="3064" width="10.59765625" style="51" customWidth="1"/>
    <col min="3065" max="3065" width="3.296875" style="51" customWidth="1"/>
    <col min="3066" max="3066" width="5.09765625" style="51" customWidth="1"/>
    <col min="3067" max="3068" width="8.19921875" style="51"/>
    <col min="3069" max="3070" width="3.296875" style="51" customWidth="1"/>
    <col min="3071" max="3071" width="8.5" style="51" bestFit="1" customWidth="1"/>
    <col min="3072" max="3072" width="9.09765625" style="51" bestFit="1" customWidth="1"/>
    <col min="3073" max="3314" width="8.19921875" style="51"/>
    <col min="3315" max="3315" width="5.09765625" style="51" customWidth="1"/>
    <col min="3316" max="3316" width="3.296875" style="51" customWidth="1"/>
    <col min="3317" max="3317" width="18.796875" style="51" customWidth="1"/>
    <col min="3318" max="3318" width="11.296875" style="51" customWidth="1"/>
    <col min="3319" max="3319" width="8.19921875" style="51"/>
    <col min="3320" max="3320" width="10.59765625" style="51" customWidth="1"/>
    <col min="3321" max="3321" width="3.296875" style="51" customWidth="1"/>
    <col min="3322" max="3322" width="5.09765625" style="51" customWidth="1"/>
    <col min="3323" max="3324" width="8.19921875" style="51"/>
    <col min="3325" max="3326" width="3.296875" style="51" customWidth="1"/>
    <col min="3327" max="3327" width="8.5" style="51" bestFit="1" customWidth="1"/>
    <col min="3328" max="3328" width="9.09765625" style="51" bestFit="1" customWidth="1"/>
    <col min="3329" max="3570" width="8.19921875" style="51"/>
    <col min="3571" max="3571" width="5.09765625" style="51" customWidth="1"/>
    <col min="3572" max="3572" width="3.296875" style="51" customWidth="1"/>
    <col min="3573" max="3573" width="18.796875" style="51" customWidth="1"/>
    <col min="3574" max="3574" width="11.296875" style="51" customWidth="1"/>
    <col min="3575" max="3575" width="8.19921875" style="51"/>
    <col min="3576" max="3576" width="10.59765625" style="51" customWidth="1"/>
    <col min="3577" max="3577" width="3.296875" style="51" customWidth="1"/>
    <col min="3578" max="3578" width="5.09765625" style="51" customWidth="1"/>
    <col min="3579" max="3580" width="8.19921875" style="51"/>
    <col min="3581" max="3582" width="3.296875" style="51" customWidth="1"/>
    <col min="3583" max="3583" width="8.5" style="51" bestFit="1" customWidth="1"/>
    <col min="3584" max="3584" width="9.09765625" style="51" bestFit="1" customWidth="1"/>
    <col min="3585" max="3826" width="8.19921875" style="51"/>
    <col min="3827" max="3827" width="5.09765625" style="51" customWidth="1"/>
    <col min="3828" max="3828" width="3.296875" style="51" customWidth="1"/>
    <col min="3829" max="3829" width="18.796875" style="51" customWidth="1"/>
    <col min="3830" max="3830" width="11.296875" style="51" customWidth="1"/>
    <col min="3831" max="3831" width="8.19921875" style="51"/>
    <col min="3832" max="3832" width="10.59765625" style="51" customWidth="1"/>
    <col min="3833" max="3833" width="3.296875" style="51" customWidth="1"/>
    <col min="3834" max="3834" width="5.09765625" style="51" customWidth="1"/>
    <col min="3835" max="3836" width="8.19921875" style="51"/>
    <col min="3837" max="3838" width="3.296875" style="51" customWidth="1"/>
    <col min="3839" max="3839" width="8.5" style="51" bestFit="1" customWidth="1"/>
    <col min="3840" max="3840" width="9.09765625" style="51" bestFit="1" customWidth="1"/>
    <col min="3841" max="4082" width="8.19921875" style="51"/>
    <col min="4083" max="4083" width="5.09765625" style="51" customWidth="1"/>
    <col min="4084" max="4084" width="3.296875" style="51" customWidth="1"/>
    <col min="4085" max="4085" width="18.796875" style="51" customWidth="1"/>
    <col min="4086" max="4086" width="11.296875" style="51" customWidth="1"/>
    <col min="4087" max="4087" width="8.19921875" style="51"/>
    <col min="4088" max="4088" width="10.59765625" style="51" customWidth="1"/>
    <col min="4089" max="4089" width="3.296875" style="51" customWidth="1"/>
    <col min="4090" max="4090" width="5.09765625" style="51" customWidth="1"/>
    <col min="4091" max="4092" width="8.19921875" style="51"/>
    <col min="4093" max="4094" width="3.296875" style="51" customWidth="1"/>
    <col min="4095" max="4095" width="8.5" style="51" bestFit="1" customWidth="1"/>
    <col min="4096" max="4096" width="9.09765625" style="51" bestFit="1" customWidth="1"/>
    <col min="4097" max="4338" width="8.19921875" style="51"/>
    <col min="4339" max="4339" width="5.09765625" style="51" customWidth="1"/>
    <col min="4340" max="4340" width="3.296875" style="51" customWidth="1"/>
    <col min="4341" max="4341" width="18.796875" style="51" customWidth="1"/>
    <col min="4342" max="4342" width="11.296875" style="51" customWidth="1"/>
    <col min="4343" max="4343" width="8.19921875" style="51"/>
    <col min="4344" max="4344" width="10.59765625" style="51" customWidth="1"/>
    <col min="4345" max="4345" width="3.296875" style="51" customWidth="1"/>
    <col min="4346" max="4346" width="5.09765625" style="51" customWidth="1"/>
    <col min="4347" max="4348" width="8.19921875" style="51"/>
    <col min="4349" max="4350" width="3.296875" style="51" customWidth="1"/>
    <col min="4351" max="4351" width="8.5" style="51" bestFit="1" customWidth="1"/>
    <col min="4352" max="4352" width="9.09765625" style="51" bestFit="1" customWidth="1"/>
    <col min="4353" max="4594" width="8.19921875" style="51"/>
    <col min="4595" max="4595" width="5.09765625" style="51" customWidth="1"/>
    <col min="4596" max="4596" width="3.296875" style="51" customWidth="1"/>
    <col min="4597" max="4597" width="18.796875" style="51" customWidth="1"/>
    <col min="4598" max="4598" width="11.296875" style="51" customWidth="1"/>
    <col min="4599" max="4599" width="8.19921875" style="51"/>
    <col min="4600" max="4600" width="10.59765625" style="51" customWidth="1"/>
    <col min="4601" max="4601" width="3.296875" style="51" customWidth="1"/>
    <col min="4602" max="4602" width="5.09765625" style="51" customWidth="1"/>
    <col min="4603" max="4604" width="8.19921875" style="51"/>
    <col min="4605" max="4606" width="3.296875" style="51" customWidth="1"/>
    <col min="4607" max="4607" width="8.5" style="51" bestFit="1" customWidth="1"/>
    <col min="4608" max="4608" width="9.09765625" style="51" bestFit="1" customWidth="1"/>
    <col min="4609" max="4850" width="8.19921875" style="51"/>
    <col min="4851" max="4851" width="5.09765625" style="51" customWidth="1"/>
    <col min="4852" max="4852" width="3.296875" style="51" customWidth="1"/>
    <col min="4853" max="4853" width="18.796875" style="51" customWidth="1"/>
    <col min="4854" max="4854" width="11.296875" style="51" customWidth="1"/>
    <col min="4855" max="4855" width="8.19921875" style="51"/>
    <col min="4856" max="4856" width="10.59765625" style="51" customWidth="1"/>
    <col min="4857" max="4857" width="3.296875" style="51" customWidth="1"/>
    <col min="4858" max="4858" width="5.09765625" style="51" customWidth="1"/>
    <col min="4859" max="4860" width="8.19921875" style="51"/>
    <col min="4861" max="4862" width="3.296875" style="51" customWidth="1"/>
    <col min="4863" max="4863" width="8.5" style="51" bestFit="1" customWidth="1"/>
    <col min="4864" max="4864" width="9.09765625" style="51" bestFit="1" customWidth="1"/>
    <col min="4865" max="5106" width="8.19921875" style="51"/>
    <col min="5107" max="5107" width="5.09765625" style="51" customWidth="1"/>
    <col min="5108" max="5108" width="3.296875" style="51" customWidth="1"/>
    <col min="5109" max="5109" width="18.796875" style="51" customWidth="1"/>
    <col min="5110" max="5110" width="11.296875" style="51" customWidth="1"/>
    <col min="5111" max="5111" width="8.19921875" style="51"/>
    <col min="5112" max="5112" width="10.59765625" style="51" customWidth="1"/>
    <col min="5113" max="5113" width="3.296875" style="51" customWidth="1"/>
    <col min="5114" max="5114" width="5.09765625" style="51" customWidth="1"/>
    <col min="5115" max="5116" width="8.19921875" style="51"/>
    <col min="5117" max="5118" width="3.296875" style="51" customWidth="1"/>
    <col min="5119" max="5119" width="8.5" style="51" bestFit="1" customWidth="1"/>
    <col min="5120" max="5120" width="9.09765625" style="51" bestFit="1" customWidth="1"/>
    <col min="5121" max="5362" width="8.19921875" style="51"/>
    <col min="5363" max="5363" width="5.09765625" style="51" customWidth="1"/>
    <col min="5364" max="5364" width="3.296875" style="51" customWidth="1"/>
    <col min="5365" max="5365" width="18.796875" style="51" customWidth="1"/>
    <col min="5366" max="5366" width="11.296875" style="51" customWidth="1"/>
    <col min="5367" max="5367" width="8.19921875" style="51"/>
    <col min="5368" max="5368" width="10.59765625" style="51" customWidth="1"/>
    <col min="5369" max="5369" width="3.296875" style="51" customWidth="1"/>
    <col min="5370" max="5370" width="5.09765625" style="51" customWidth="1"/>
    <col min="5371" max="5372" width="8.19921875" style="51"/>
    <col min="5373" max="5374" width="3.296875" style="51" customWidth="1"/>
    <col min="5375" max="5375" width="8.5" style="51" bestFit="1" customWidth="1"/>
    <col min="5376" max="5376" width="9.09765625" style="51" bestFit="1" customWidth="1"/>
    <col min="5377" max="5618" width="8.19921875" style="51"/>
    <col min="5619" max="5619" width="5.09765625" style="51" customWidth="1"/>
    <col min="5620" max="5620" width="3.296875" style="51" customWidth="1"/>
    <col min="5621" max="5621" width="18.796875" style="51" customWidth="1"/>
    <col min="5622" max="5622" width="11.296875" style="51" customWidth="1"/>
    <col min="5623" max="5623" width="8.19921875" style="51"/>
    <col min="5624" max="5624" width="10.59765625" style="51" customWidth="1"/>
    <col min="5625" max="5625" width="3.296875" style="51" customWidth="1"/>
    <col min="5626" max="5626" width="5.09765625" style="51" customWidth="1"/>
    <col min="5627" max="5628" width="8.19921875" style="51"/>
    <col min="5629" max="5630" width="3.296875" style="51" customWidth="1"/>
    <col min="5631" max="5631" width="8.5" style="51" bestFit="1" customWidth="1"/>
    <col min="5632" max="5632" width="9.09765625" style="51" bestFit="1" customWidth="1"/>
    <col min="5633" max="5874" width="8.19921875" style="51"/>
    <col min="5875" max="5875" width="5.09765625" style="51" customWidth="1"/>
    <col min="5876" max="5876" width="3.296875" style="51" customWidth="1"/>
    <col min="5877" max="5877" width="18.796875" style="51" customWidth="1"/>
    <col min="5878" max="5878" width="11.296875" style="51" customWidth="1"/>
    <col min="5879" max="5879" width="8.19921875" style="51"/>
    <col min="5880" max="5880" width="10.59765625" style="51" customWidth="1"/>
    <col min="5881" max="5881" width="3.296875" style="51" customWidth="1"/>
    <col min="5882" max="5882" width="5.09765625" style="51" customWidth="1"/>
    <col min="5883" max="5884" width="8.19921875" style="51"/>
    <col min="5885" max="5886" width="3.296875" style="51" customWidth="1"/>
    <col min="5887" max="5887" width="8.5" style="51" bestFit="1" customWidth="1"/>
    <col min="5888" max="5888" width="9.09765625" style="51" bestFit="1" customWidth="1"/>
    <col min="5889" max="6130" width="8.19921875" style="51"/>
    <col min="6131" max="6131" width="5.09765625" style="51" customWidth="1"/>
    <col min="6132" max="6132" width="3.296875" style="51" customWidth="1"/>
    <col min="6133" max="6133" width="18.796875" style="51" customWidth="1"/>
    <col min="6134" max="6134" width="11.296875" style="51" customWidth="1"/>
    <col min="6135" max="6135" width="8.19921875" style="51"/>
    <col min="6136" max="6136" width="10.59765625" style="51" customWidth="1"/>
    <col min="6137" max="6137" width="3.296875" style="51" customWidth="1"/>
    <col min="6138" max="6138" width="5.09765625" style="51" customWidth="1"/>
    <col min="6139" max="6140" width="8.19921875" style="51"/>
    <col min="6141" max="6142" width="3.296875" style="51" customWidth="1"/>
    <col min="6143" max="6143" width="8.5" style="51" bestFit="1" customWidth="1"/>
    <col min="6144" max="6144" width="9.09765625" style="51" bestFit="1" customWidth="1"/>
    <col min="6145" max="6386" width="8.19921875" style="51"/>
    <col min="6387" max="6387" width="5.09765625" style="51" customWidth="1"/>
    <col min="6388" max="6388" width="3.296875" style="51" customWidth="1"/>
    <col min="6389" max="6389" width="18.796875" style="51" customWidth="1"/>
    <col min="6390" max="6390" width="11.296875" style="51" customWidth="1"/>
    <col min="6391" max="6391" width="8.19921875" style="51"/>
    <col min="6392" max="6392" width="10.59765625" style="51" customWidth="1"/>
    <col min="6393" max="6393" width="3.296875" style="51" customWidth="1"/>
    <col min="6394" max="6394" width="5.09765625" style="51" customWidth="1"/>
    <col min="6395" max="6396" width="8.19921875" style="51"/>
    <col min="6397" max="6398" width="3.296875" style="51" customWidth="1"/>
    <col min="6399" max="6399" width="8.5" style="51" bestFit="1" customWidth="1"/>
    <col min="6400" max="6400" width="9.09765625" style="51" bestFit="1" customWidth="1"/>
    <col min="6401" max="6642" width="8.19921875" style="51"/>
    <col min="6643" max="6643" width="5.09765625" style="51" customWidth="1"/>
    <col min="6644" max="6644" width="3.296875" style="51" customWidth="1"/>
    <col min="6645" max="6645" width="18.796875" style="51" customWidth="1"/>
    <col min="6646" max="6646" width="11.296875" style="51" customWidth="1"/>
    <col min="6647" max="6647" width="8.19921875" style="51"/>
    <col min="6648" max="6648" width="10.59765625" style="51" customWidth="1"/>
    <col min="6649" max="6649" width="3.296875" style="51" customWidth="1"/>
    <col min="6650" max="6650" width="5.09765625" style="51" customWidth="1"/>
    <col min="6651" max="6652" width="8.19921875" style="51"/>
    <col min="6653" max="6654" width="3.296875" style="51" customWidth="1"/>
    <col min="6655" max="6655" width="8.5" style="51" bestFit="1" customWidth="1"/>
    <col min="6656" max="6656" width="9.09765625" style="51" bestFit="1" customWidth="1"/>
    <col min="6657" max="6898" width="8.19921875" style="51"/>
    <col min="6899" max="6899" width="5.09765625" style="51" customWidth="1"/>
    <col min="6900" max="6900" width="3.296875" style="51" customWidth="1"/>
    <col min="6901" max="6901" width="18.796875" style="51" customWidth="1"/>
    <col min="6902" max="6902" width="11.296875" style="51" customWidth="1"/>
    <col min="6903" max="6903" width="8.19921875" style="51"/>
    <col min="6904" max="6904" width="10.59765625" style="51" customWidth="1"/>
    <col min="6905" max="6905" width="3.296875" style="51" customWidth="1"/>
    <col min="6906" max="6906" width="5.09765625" style="51" customWidth="1"/>
    <col min="6907" max="6908" width="8.19921875" style="51"/>
    <col min="6909" max="6910" width="3.296875" style="51" customWidth="1"/>
    <col min="6911" max="6911" width="8.5" style="51" bestFit="1" customWidth="1"/>
    <col min="6912" max="6912" width="9.09765625" style="51" bestFit="1" customWidth="1"/>
    <col min="6913" max="7154" width="8.19921875" style="51"/>
    <col min="7155" max="7155" width="5.09765625" style="51" customWidth="1"/>
    <col min="7156" max="7156" width="3.296875" style="51" customWidth="1"/>
    <col min="7157" max="7157" width="18.796875" style="51" customWidth="1"/>
    <col min="7158" max="7158" width="11.296875" style="51" customWidth="1"/>
    <col min="7159" max="7159" width="8.19921875" style="51"/>
    <col min="7160" max="7160" width="10.59765625" style="51" customWidth="1"/>
    <col min="7161" max="7161" width="3.296875" style="51" customWidth="1"/>
    <col min="7162" max="7162" width="5.09765625" style="51" customWidth="1"/>
    <col min="7163" max="7164" width="8.19921875" style="51"/>
    <col min="7165" max="7166" width="3.296875" style="51" customWidth="1"/>
    <col min="7167" max="7167" width="8.5" style="51" bestFit="1" customWidth="1"/>
    <col min="7168" max="7168" width="9.09765625" style="51" bestFit="1" customWidth="1"/>
    <col min="7169" max="7410" width="8.19921875" style="51"/>
    <col min="7411" max="7411" width="5.09765625" style="51" customWidth="1"/>
    <col min="7412" max="7412" width="3.296875" style="51" customWidth="1"/>
    <col min="7413" max="7413" width="18.796875" style="51" customWidth="1"/>
    <col min="7414" max="7414" width="11.296875" style="51" customWidth="1"/>
    <col min="7415" max="7415" width="8.19921875" style="51"/>
    <col min="7416" max="7416" width="10.59765625" style="51" customWidth="1"/>
    <col min="7417" max="7417" width="3.296875" style="51" customWidth="1"/>
    <col min="7418" max="7418" width="5.09765625" style="51" customWidth="1"/>
    <col min="7419" max="7420" width="8.19921875" style="51"/>
    <col min="7421" max="7422" width="3.296875" style="51" customWidth="1"/>
    <col min="7423" max="7423" width="8.5" style="51" bestFit="1" customWidth="1"/>
    <col min="7424" max="7424" width="9.09765625" style="51" bestFit="1" customWidth="1"/>
    <col min="7425" max="7666" width="8.19921875" style="51"/>
    <col min="7667" max="7667" width="5.09765625" style="51" customWidth="1"/>
    <col min="7668" max="7668" width="3.296875" style="51" customWidth="1"/>
    <col min="7669" max="7669" width="18.796875" style="51" customWidth="1"/>
    <col min="7670" max="7670" width="11.296875" style="51" customWidth="1"/>
    <col min="7671" max="7671" width="8.19921875" style="51"/>
    <col min="7672" max="7672" width="10.59765625" style="51" customWidth="1"/>
    <col min="7673" max="7673" width="3.296875" style="51" customWidth="1"/>
    <col min="7674" max="7674" width="5.09765625" style="51" customWidth="1"/>
    <col min="7675" max="7676" width="8.19921875" style="51"/>
    <col min="7677" max="7678" width="3.296875" style="51" customWidth="1"/>
    <col min="7679" max="7679" width="8.5" style="51" bestFit="1" customWidth="1"/>
    <col min="7680" max="7680" width="9.09765625" style="51" bestFit="1" customWidth="1"/>
    <col min="7681" max="7922" width="8.19921875" style="51"/>
    <col min="7923" max="7923" width="5.09765625" style="51" customWidth="1"/>
    <col min="7924" max="7924" width="3.296875" style="51" customWidth="1"/>
    <col min="7925" max="7925" width="18.796875" style="51" customWidth="1"/>
    <col min="7926" max="7926" width="11.296875" style="51" customWidth="1"/>
    <col min="7927" max="7927" width="8.19921875" style="51"/>
    <col min="7928" max="7928" width="10.59765625" style="51" customWidth="1"/>
    <col min="7929" max="7929" width="3.296875" style="51" customWidth="1"/>
    <col min="7930" max="7930" width="5.09765625" style="51" customWidth="1"/>
    <col min="7931" max="7932" width="8.19921875" style="51"/>
    <col min="7933" max="7934" width="3.296875" style="51" customWidth="1"/>
    <col min="7935" max="7935" width="8.5" style="51" bestFit="1" customWidth="1"/>
    <col min="7936" max="7936" width="9.09765625" style="51" bestFit="1" customWidth="1"/>
    <col min="7937" max="8178" width="8.19921875" style="51"/>
    <col min="8179" max="8179" width="5.09765625" style="51" customWidth="1"/>
    <col min="8180" max="8180" width="3.296875" style="51" customWidth="1"/>
    <col min="8181" max="8181" width="18.796875" style="51" customWidth="1"/>
    <col min="8182" max="8182" width="11.296875" style="51" customWidth="1"/>
    <col min="8183" max="8183" width="8.19921875" style="51"/>
    <col min="8184" max="8184" width="10.59765625" style="51" customWidth="1"/>
    <col min="8185" max="8185" width="3.296875" style="51" customWidth="1"/>
    <col min="8186" max="8186" width="5.09765625" style="51" customWidth="1"/>
    <col min="8187" max="8188" width="8.19921875" style="51"/>
    <col min="8189" max="8190" width="3.296875" style="51" customWidth="1"/>
    <col min="8191" max="8191" width="8.5" style="51" bestFit="1" customWidth="1"/>
    <col min="8192" max="8192" width="9.09765625" style="51" bestFit="1" customWidth="1"/>
    <col min="8193" max="8434" width="8.19921875" style="51"/>
    <col min="8435" max="8435" width="5.09765625" style="51" customWidth="1"/>
    <col min="8436" max="8436" width="3.296875" style="51" customWidth="1"/>
    <col min="8437" max="8437" width="18.796875" style="51" customWidth="1"/>
    <col min="8438" max="8438" width="11.296875" style="51" customWidth="1"/>
    <col min="8439" max="8439" width="8.19921875" style="51"/>
    <col min="8440" max="8440" width="10.59765625" style="51" customWidth="1"/>
    <col min="8441" max="8441" width="3.296875" style="51" customWidth="1"/>
    <col min="8442" max="8442" width="5.09765625" style="51" customWidth="1"/>
    <col min="8443" max="8444" width="8.19921875" style="51"/>
    <col min="8445" max="8446" width="3.296875" style="51" customWidth="1"/>
    <col min="8447" max="8447" width="8.5" style="51" bestFit="1" customWidth="1"/>
    <col min="8448" max="8448" width="9.09765625" style="51" bestFit="1" customWidth="1"/>
    <col min="8449" max="8690" width="8.19921875" style="51"/>
    <col min="8691" max="8691" width="5.09765625" style="51" customWidth="1"/>
    <col min="8692" max="8692" width="3.296875" style="51" customWidth="1"/>
    <col min="8693" max="8693" width="18.796875" style="51" customWidth="1"/>
    <col min="8694" max="8694" width="11.296875" style="51" customWidth="1"/>
    <col min="8695" max="8695" width="8.19921875" style="51"/>
    <col min="8696" max="8696" width="10.59765625" style="51" customWidth="1"/>
    <col min="8697" max="8697" width="3.296875" style="51" customWidth="1"/>
    <col min="8698" max="8698" width="5.09765625" style="51" customWidth="1"/>
    <col min="8699" max="8700" width="8.19921875" style="51"/>
    <col min="8701" max="8702" width="3.296875" style="51" customWidth="1"/>
    <col min="8703" max="8703" width="8.5" style="51" bestFit="1" customWidth="1"/>
    <col min="8704" max="8704" width="9.09765625" style="51" bestFit="1" customWidth="1"/>
    <col min="8705" max="8946" width="8.19921875" style="51"/>
    <col min="8947" max="8947" width="5.09765625" style="51" customWidth="1"/>
    <col min="8948" max="8948" width="3.296875" style="51" customWidth="1"/>
    <col min="8949" max="8949" width="18.796875" style="51" customWidth="1"/>
    <col min="8950" max="8950" width="11.296875" style="51" customWidth="1"/>
    <col min="8951" max="8951" width="8.19921875" style="51"/>
    <col min="8952" max="8952" width="10.59765625" style="51" customWidth="1"/>
    <col min="8953" max="8953" width="3.296875" style="51" customWidth="1"/>
    <col min="8954" max="8954" width="5.09765625" style="51" customWidth="1"/>
    <col min="8955" max="8956" width="8.19921875" style="51"/>
    <col min="8957" max="8958" width="3.296875" style="51" customWidth="1"/>
    <col min="8959" max="8959" width="8.5" style="51" bestFit="1" customWidth="1"/>
    <col min="8960" max="8960" width="9.09765625" style="51" bestFit="1" customWidth="1"/>
    <col min="8961" max="9202" width="8.19921875" style="51"/>
    <col min="9203" max="9203" width="5.09765625" style="51" customWidth="1"/>
    <col min="9204" max="9204" width="3.296875" style="51" customWidth="1"/>
    <col min="9205" max="9205" width="18.796875" style="51" customWidth="1"/>
    <col min="9206" max="9206" width="11.296875" style="51" customWidth="1"/>
    <col min="9207" max="9207" width="8.19921875" style="51"/>
    <col min="9208" max="9208" width="10.59765625" style="51" customWidth="1"/>
    <col min="9209" max="9209" width="3.296875" style="51" customWidth="1"/>
    <col min="9210" max="9210" width="5.09765625" style="51" customWidth="1"/>
    <col min="9211" max="9212" width="8.19921875" style="51"/>
    <col min="9213" max="9214" width="3.296875" style="51" customWidth="1"/>
    <col min="9215" max="9215" width="8.5" style="51" bestFit="1" customWidth="1"/>
    <col min="9216" max="9216" width="9.09765625" style="51" bestFit="1" customWidth="1"/>
    <col min="9217" max="9458" width="8.19921875" style="51"/>
    <col min="9459" max="9459" width="5.09765625" style="51" customWidth="1"/>
    <col min="9460" max="9460" width="3.296875" style="51" customWidth="1"/>
    <col min="9461" max="9461" width="18.796875" style="51" customWidth="1"/>
    <col min="9462" max="9462" width="11.296875" style="51" customWidth="1"/>
    <col min="9463" max="9463" width="8.19921875" style="51"/>
    <col min="9464" max="9464" width="10.59765625" style="51" customWidth="1"/>
    <col min="9465" max="9465" width="3.296875" style="51" customWidth="1"/>
    <col min="9466" max="9466" width="5.09765625" style="51" customWidth="1"/>
    <col min="9467" max="9468" width="8.19921875" style="51"/>
    <col min="9469" max="9470" width="3.296875" style="51" customWidth="1"/>
    <col min="9471" max="9471" width="8.5" style="51" bestFit="1" customWidth="1"/>
    <col min="9472" max="9472" width="9.09765625" style="51" bestFit="1" customWidth="1"/>
    <col min="9473" max="9714" width="8.19921875" style="51"/>
    <col min="9715" max="9715" width="5.09765625" style="51" customWidth="1"/>
    <col min="9716" max="9716" width="3.296875" style="51" customWidth="1"/>
    <col min="9717" max="9717" width="18.796875" style="51" customWidth="1"/>
    <col min="9718" max="9718" width="11.296875" style="51" customWidth="1"/>
    <col min="9719" max="9719" width="8.19921875" style="51"/>
    <col min="9720" max="9720" width="10.59765625" style="51" customWidth="1"/>
    <col min="9721" max="9721" width="3.296875" style="51" customWidth="1"/>
    <col min="9722" max="9722" width="5.09765625" style="51" customWidth="1"/>
    <col min="9723" max="9724" width="8.19921875" style="51"/>
    <col min="9725" max="9726" width="3.296875" style="51" customWidth="1"/>
    <col min="9727" max="9727" width="8.5" style="51" bestFit="1" customWidth="1"/>
    <col min="9728" max="9728" width="9.09765625" style="51" bestFit="1" customWidth="1"/>
    <col min="9729" max="9970" width="8.19921875" style="51"/>
    <col min="9971" max="9971" width="5.09765625" style="51" customWidth="1"/>
    <col min="9972" max="9972" width="3.296875" style="51" customWidth="1"/>
    <col min="9973" max="9973" width="18.796875" style="51" customWidth="1"/>
    <col min="9974" max="9974" width="11.296875" style="51" customWidth="1"/>
    <col min="9975" max="9975" width="8.19921875" style="51"/>
    <col min="9976" max="9976" width="10.59765625" style="51" customWidth="1"/>
    <col min="9977" max="9977" width="3.296875" style="51" customWidth="1"/>
    <col min="9978" max="9978" width="5.09765625" style="51" customWidth="1"/>
    <col min="9979" max="9980" width="8.19921875" style="51"/>
    <col min="9981" max="9982" width="3.296875" style="51" customWidth="1"/>
    <col min="9983" max="9983" width="8.5" style="51" bestFit="1" customWidth="1"/>
    <col min="9984" max="9984" width="9.09765625" style="51" bestFit="1" customWidth="1"/>
    <col min="9985" max="10226" width="8.19921875" style="51"/>
    <col min="10227" max="10227" width="5.09765625" style="51" customWidth="1"/>
    <col min="10228" max="10228" width="3.296875" style="51" customWidth="1"/>
    <col min="10229" max="10229" width="18.796875" style="51" customWidth="1"/>
    <col min="10230" max="10230" width="11.296875" style="51" customWidth="1"/>
    <col min="10231" max="10231" width="8.19921875" style="51"/>
    <col min="10232" max="10232" width="10.59765625" style="51" customWidth="1"/>
    <col min="10233" max="10233" width="3.296875" style="51" customWidth="1"/>
    <col min="10234" max="10234" width="5.09765625" style="51" customWidth="1"/>
    <col min="10235" max="10236" width="8.19921875" style="51"/>
    <col min="10237" max="10238" width="3.296875" style="51" customWidth="1"/>
    <col min="10239" max="10239" width="8.5" style="51" bestFit="1" customWidth="1"/>
    <col min="10240" max="10240" width="9.09765625" style="51" bestFit="1" customWidth="1"/>
    <col min="10241" max="10482" width="8.19921875" style="51"/>
    <col min="10483" max="10483" width="5.09765625" style="51" customWidth="1"/>
    <col min="10484" max="10484" width="3.296875" style="51" customWidth="1"/>
    <col min="10485" max="10485" width="18.796875" style="51" customWidth="1"/>
    <col min="10486" max="10486" width="11.296875" style="51" customWidth="1"/>
    <col min="10487" max="10487" width="8.19921875" style="51"/>
    <col min="10488" max="10488" width="10.59765625" style="51" customWidth="1"/>
    <col min="10489" max="10489" width="3.296875" style="51" customWidth="1"/>
    <col min="10490" max="10490" width="5.09765625" style="51" customWidth="1"/>
    <col min="10491" max="10492" width="8.19921875" style="51"/>
    <col min="10493" max="10494" width="3.296875" style="51" customWidth="1"/>
    <col min="10495" max="10495" width="8.5" style="51" bestFit="1" customWidth="1"/>
    <col min="10496" max="10496" width="9.09765625" style="51" bestFit="1" customWidth="1"/>
    <col min="10497" max="10738" width="8.19921875" style="51"/>
    <col min="10739" max="10739" width="5.09765625" style="51" customWidth="1"/>
    <col min="10740" max="10740" width="3.296875" style="51" customWidth="1"/>
    <col min="10741" max="10741" width="18.796875" style="51" customWidth="1"/>
    <col min="10742" max="10742" width="11.296875" style="51" customWidth="1"/>
    <col min="10743" max="10743" width="8.19921875" style="51"/>
    <col min="10744" max="10744" width="10.59765625" style="51" customWidth="1"/>
    <col min="10745" max="10745" width="3.296875" style="51" customWidth="1"/>
    <col min="10746" max="10746" width="5.09765625" style="51" customWidth="1"/>
    <col min="10747" max="10748" width="8.19921875" style="51"/>
    <col min="10749" max="10750" width="3.296875" style="51" customWidth="1"/>
    <col min="10751" max="10751" width="8.5" style="51" bestFit="1" customWidth="1"/>
    <col min="10752" max="10752" width="9.09765625" style="51" bestFit="1" customWidth="1"/>
    <col min="10753" max="10994" width="8.19921875" style="51"/>
    <col min="10995" max="10995" width="5.09765625" style="51" customWidth="1"/>
    <col min="10996" max="10996" width="3.296875" style="51" customWidth="1"/>
    <col min="10997" max="10997" width="18.796875" style="51" customWidth="1"/>
    <col min="10998" max="10998" width="11.296875" style="51" customWidth="1"/>
    <col min="10999" max="10999" width="8.19921875" style="51"/>
    <col min="11000" max="11000" width="10.59765625" style="51" customWidth="1"/>
    <col min="11001" max="11001" width="3.296875" style="51" customWidth="1"/>
    <col min="11002" max="11002" width="5.09765625" style="51" customWidth="1"/>
    <col min="11003" max="11004" width="8.19921875" style="51"/>
    <col min="11005" max="11006" width="3.296875" style="51" customWidth="1"/>
    <col min="11007" max="11007" width="8.5" style="51" bestFit="1" customWidth="1"/>
    <col min="11008" max="11008" width="9.09765625" style="51" bestFit="1" customWidth="1"/>
    <col min="11009" max="11250" width="8.19921875" style="51"/>
    <col min="11251" max="11251" width="5.09765625" style="51" customWidth="1"/>
    <col min="11252" max="11252" width="3.296875" style="51" customWidth="1"/>
    <col min="11253" max="11253" width="18.796875" style="51" customWidth="1"/>
    <col min="11254" max="11254" width="11.296875" style="51" customWidth="1"/>
    <col min="11255" max="11255" width="8.19921875" style="51"/>
    <col min="11256" max="11256" width="10.59765625" style="51" customWidth="1"/>
    <col min="11257" max="11257" width="3.296875" style="51" customWidth="1"/>
    <col min="11258" max="11258" width="5.09765625" style="51" customWidth="1"/>
    <col min="11259" max="11260" width="8.19921875" style="51"/>
    <col min="11261" max="11262" width="3.296875" style="51" customWidth="1"/>
    <col min="11263" max="11263" width="8.5" style="51" bestFit="1" customWidth="1"/>
    <col min="11264" max="11264" width="9.09765625" style="51" bestFit="1" customWidth="1"/>
    <col min="11265" max="11506" width="8.19921875" style="51"/>
    <col min="11507" max="11507" width="5.09765625" style="51" customWidth="1"/>
    <col min="11508" max="11508" width="3.296875" style="51" customWidth="1"/>
    <col min="11509" max="11509" width="18.796875" style="51" customWidth="1"/>
    <col min="11510" max="11510" width="11.296875" style="51" customWidth="1"/>
    <col min="11511" max="11511" width="8.19921875" style="51"/>
    <col min="11512" max="11512" width="10.59765625" style="51" customWidth="1"/>
    <col min="11513" max="11513" width="3.296875" style="51" customWidth="1"/>
    <col min="11514" max="11514" width="5.09765625" style="51" customWidth="1"/>
    <col min="11515" max="11516" width="8.19921875" style="51"/>
    <col min="11517" max="11518" width="3.296875" style="51" customWidth="1"/>
    <col min="11519" max="11519" width="8.5" style="51" bestFit="1" customWidth="1"/>
    <col min="11520" max="11520" width="9.09765625" style="51" bestFit="1" customWidth="1"/>
    <col min="11521" max="11762" width="8.19921875" style="51"/>
    <col min="11763" max="11763" width="5.09765625" style="51" customWidth="1"/>
    <col min="11764" max="11764" width="3.296875" style="51" customWidth="1"/>
    <col min="11765" max="11765" width="18.796875" style="51" customWidth="1"/>
    <col min="11766" max="11766" width="11.296875" style="51" customWidth="1"/>
    <col min="11767" max="11767" width="8.19921875" style="51"/>
    <col min="11768" max="11768" width="10.59765625" style="51" customWidth="1"/>
    <col min="11769" max="11769" width="3.296875" style="51" customWidth="1"/>
    <col min="11770" max="11770" width="5.09765625" style="51" customWidth="1"/>
    <col min="11771" max="11772" width="8.19921875" style="51"/>
    <col min="11773" max="11774" width="3.296875" style="51" customWidth="1"/>
    <col min="11775" max="11775" width="8.5" style="51" bestFit="1" customWidth="1"/>
    <col min="11776" max="11776" width="9.09765625" style="51" bestFit="1" customWidth="1"/>
    <col min="11777" max="12018" width="8.19921875" style="51"/>
    <col min="12019" max="12019" width="5.09765625" style="51" customWidth="1"/>
    <col min="12020" max="12020" width="3.296875" style="51" customWidth="1"/>
    <col min="12021" max="12021" width="18.796875" style="51" customWidth="1"/>
    <col min="12022" max="12022" width="11.296875" style="51" customWidth="1"/>
    <col min="12023" max="12023" width="8.19921875" style="51"/>
    <col min="12024" max="12024" width="10.59765625" style="51" customWidth="1"/>
    <col min="12025" max="12025" width="3.296875" style="51" customWidth="1"/>
    <col min="12026" max="12026" width="5.09765625" style="51" customWidth="1"/>
    <col min="12027" max="12028" width="8.19921875" style="51"/>
    <col min="12029" max="12030" width="3.296875" style="51" customWidth="1"/>
    <col min="12031" max="12031" width="8.5" style="51" bestFit="1" customWidth="1"/>
    <col min="12032" max="12032" width="9.09765625" style="51" bestFit="1" customWidth="1"/>
    <col min="12033" max="12274" width="8.19921875" style="51"/>
    <col min="12275" max="12275" width="5.09765625" style="51" customWidth="1"/>
    <col min="12276" max="12276" width="3.296875" style="51" customWidth="1"/>
    <col min="12277" max="12277" width="18.796875" style="51" customWidth="1"/>
    <col min="12278" max="12278" width="11.296875" style="51" customWidth="1"/>
    <col min="12279" max="12279" width="8.19921875" style="51"/>
    <col min="12280" max="12280" width="10.59765625" style="51" customWidth="1"/>
    <col min="12281" max="12281" width="3.296875" style="51" customWidth="1"/>
    <col min="12282" max="12282" width="5.09765625" style="51" customWidth="1"/>
    <col min="12283" max="12284" width="8.19921875" style="51"/>
    <col min="12285" max="12286" width="3.296875" style="51" customWidth="1"/>
    <col min="12287" max="12287" width="8.5" style="51" bestFit="1" customWidth="1"/>
    <col min="12288" max="12288" width="9.09765625" style="51" bestFit="1" customWidth="1"/>
    <col min="12289" max="12530" width="8.19921875" style="51"/>
    <col min="12531" max="12531" width="5.09765625" style="51" customWidth="1"/>
    <col min="12532" max="12532" width="3.296875" style="51" customWidth="1"/>
    <col min="12533" max="12533" width="18.796875" style="51" customWidth="1"/>
    <col min="12534" max="12534" width="11.296875" style="51" customWidth="1"/>
    <col min="12535" max="12535" width="8.19921875" style="51"/>
    <col min="12536" max="12536" width="10.59765625" style="51" customWidth="1"/>
    <col min="12537" max="12537" width="3.296875" style="51" customWidth="1"/>
    <col min="12538" max="12538" width="5.09765625" style="51" customWidth="1"/>
    <col min="12539" max="12540" width="8.19921875" style="51"/>
    <col min="12541" max="12542" width="3.296875" style="51" customWidth="1"/>
    <col min="12543" max="12543" width="8.5" style="51" bestFit="1" customWidth="1"/>
    <col min="12544" max="12544" width="9.09765625" style="51" bestFit="1" customWidth="1"/>
    <col min="12545" max="12786" width="8.19921875" style="51"/>
    <col min="12787" max="12787" width="5.09765625" style="51" customWidth="1"/>
    <col min="12788" max="12788" width="3.296875" style="51" customWidth="1"/>
    <col min="12789" max="12789" width="18.796875" style="51" customWidth="1"/>
    <col min="12790" max="12790" width="11.296875" style="51" customWidth="1"/>
    <col min="12791" max="12791" width="8.19921875" style="51"/>
    <col min="12792" max="12792" width="10.59765625" style="51" customWidth="1"/>
    <col min="12793" max="12793" width="3.296875" style="51" customWidth="1"/>
    <col min="12794" max="12794" width="5.09765625" style="51" customWidth="1"/>
    <col min="12795" max="12796" width="8.19921875" style="51"/>
    <col min="12797" max="12798" width="3.296875" style="51" customWidth="1"/>
    <col min="12799" max="12799" width="8.5" style="51" bestFit="1" customWidth="1"/>
    <col min="12800" max="12800" width="9.09765625" style="51" bestFit="1" customWidth="1"/>
    <col min="12801" max="13042" width="8.19921875" style="51"/>
    <col min="13043" max="13043" width="5.09765625" style="51" customWidth="1"/>
    <col min="13044" max="13044" width="3.296875" style="51" customWidth="1"/>
    <col min="13045" max="13045" width="18.796875" style="51" customWidth="1"/>
    <col min="13046" max="13046" width="11.296875" style="51" customWidth="1"/>
    <col min="13047" max="13047" width="8.19921875" style="51"/>
    <col min="13048" max="13048" width="10.59765625" style="51" customWidth="1"/>
    <col min="13049" max="13049" width="3.296875" style="51" customWidth="1"/>
    <col min="13050" max="13050" width="5.09765625" style="51" customWidth="1"/>
    <col min="13051" max="13052" width="8.19921875" style="51"/>
    <col min="13053" max="13054" width="3.296875" style="51" customWidth="1"/>
    <col min="13055" max="13055" width="8.5" style="51" bestFit="1" customWidth="1"/>
    <col min="13056" max="13056" width="9.09765625" style="51" bestFit="1" customWidth="1"/>
    <col min="13057" max="13298" width="8.19921875" style="51"/>
    <col min="13299" max="13299" width="5.09765625" style="51" customWidth="1"/>
    <col min="13300" max="13300" width="3.296875" style="51" customWidth="1"/>
    <col min="13301" max="13301" width="18.796875" style="51" customWidth="1"/>
    <col min="13302" max="13302" width="11.296875" style="51" customWidth="1"/>
    <col min="13303" max="13303" width="8.19921875" style="51"/>
    <col min="13304" max="13304" width="10.59765625" style="51" customWidth="1"/>
    <col min="13305" max="13305" width="3.296875" style="51" customWidth="1"/>
    <col min="13306" max="13306" width="5.09765625" style="51" customWidth="1"/>
    <col min="13307" max="13308" width="8.19921875" style="51"/>
    <col min="13309" max="13310" width="3.296875" style="51" customWidth="1"/>
    <col min="13311" max="13311" width="8.5" style="51" bestFit="1" customWidth="1"/>
    <col min="13312" max="13312" width="9.09765625" style="51" bestFit="1" customWidth="1"/>
    <col min="13313" max="13554" width="8.19921875" style="51"/>
    <col min="13555" max="13555" width="5.09765625" style="51" customWidth="1"/>
    <col min="13556" max="13556" width="3.296875" style="51" customWidth="1"/>
    <col min="13557" max="13557" width="18.796875" style="51" customWidth="1"/>
    <col min="13558" max="13558" width="11.296875" style="51" customWidth="1"/>
    <col min="13559" max="13559" width="8.19921875" style="51"/>
    <col min="13560" max="13560" width="10.59765625" style="51" customWidth="1"/>
    <col min="13561" max="13561" width="3.296875" style="51" customWidth="1"/>
    <col min="13562" max="13562" width="5.09765625" style="51" customWidth="1"/>
    <col min="13563" max="13564" width="8.19921875" style="51"/>
    <col min="13565" max="13566" width="3.296875" style="51" customWidth="1"/>
    <col min="13567" max="13567" width="8.5" style="51" bestFit="1" customWidth="1"/>
    <col min="13568" max="13568" width="9.09765625" style="51" bestFit="1" customWidth="1"/>
    <col min="13569" max="13810" width="8.19921875" style="51"/>
    <col min="13811" max="13811" width="5.09765625" style="51" customWidth="1"/>
    <col min="13812" max="13812" width="3.296875" style="51" customWidth="1"/>
    <col min="13813" max="13813" width="18.796875" style="51" customWidth="1"/>
    <col min="13814" max="13814" width="11.296875" style="51" customWidth="1"/>
    <col min="13815" max="13815" width="8.19921875" style="51"/>
    <col min="13816" max="13816" width="10.59765625" style="51" customWidth="1"/>
    <col min="13817" max="13817" width="3.296875" style="51" customWidth="1"/>
    <col min="13818" max="13818" width="5.09765625" style="51" customWidth="1"/>
    <col min="13819" max="13820" width="8.19921875" style="51"/>
    <col min="13821" max="13822" width="3.296875" style="51" customWidth="1"/>
    <col min="13823" max="13823" width="8.5" style="51" bestFit="1" customWidth="1"/>
    <col min="13824" max="13824" width="9.09765625" style="51" bestFit="1" customWidth="1"/>
    <col min="13825" max="14066" width="8.19921875" style="51"/>
    <col min="14067" max="14067" width="5.09765625" style="51" customWidth="1"/>
    <col min="14068" max="14068" width="3.296875" style="51" customWidth="1"/>
    <col min="14069" max="14069" width="18.796875" style="51" customWidth="1"/>
    <col min="14070" max="14070" width="11.296875" style="51" customWidth="1"/>
    <col min="14071" max="14071" width="8.19921875" style="51"/>
    <col min="14072" max="14072" width="10.59765625" style="51" customWidth="1"/>
    <col min="14073" max="14073" width="3.296875" style="51" customWidth="1"/>
    <col min="14074" max="14074" width="5.09765625" style="51" customWidth="1"/>
    <col min="14075" max="14076" width="8.19921875" style="51"/>
    <col min="14077" max="14078" width="3.296875" style="51" customWidth="1"/>
    <col min="14079" max="14079" width="8.5" style="51" bestFit="1" customWidth="1"/>
    <col min="14080" max="14080" width="9.09765625" style="51" bestFit="1" customWidth="1"/>
    <col min="14081" max="14322" width="8.19921875" style="51"/>
    <col min="14323" max="14323" width="5.09765625" style="51" customWidth="1"/>
    <col min="14324" max="14324" width="3.296875" style="51" customWidth="1"/>
    <col min="14325" max="14325" width="18.796875" style="51" customWidth="1"/>
    <col min="14326" max="14326" width="11.296875" style="51" customWidth="1"/>
    <col min="14327" max="14327" width="8.19921875" style="51"/>
    <col min="14328" max="14328" width="10.59765625" style="51" customWidth="1"/>
    <col min="14329" max="14329" width="3.296875" style="51" customWidth="1"/>
    <col min="14330" max="14330" width="5.09765625" style="51" customWidth="1"/>
    <col min="14331" max="14332" width="8.19921875" style="51"/>
    <col min="14333" max="14334" width="3.296875" style="51" customWidth="1"/>
    <col min="14335" max="14335" width="8.5" style="51" bestFit="1" customWidth="1"/>
    <col min="14336" max="14336" width="9.09765625" style="51" bestFit="1" customWidth="1"/>
    <col min="14337" max="14578" width="8.19921875" style="51"/>
    <col min="14579" max="14579" width="5.09765625" style="51" customWidth="1"/>
    <col min="14580" max="14580" width="3.296875" style="51" customWidth="1"/>
    <col min="14581" max="14581" width="18.796875" style="51" customWidth="1"/>
    <col min="14582" max="14582" width="11.296875" style="51" customWidth="1"/>
    <col min="14583" max="14583" width="8.19921875" style="51"/>
    <col min="14584" max="14584" width="10.59765625" style="51" customWidth="1"/>
    <col min="14585" max="14585" width="3.296875" style="51" customWidth="1"/>
    <col min="14586" max="14586" width="5.09765625" style="51" customWidth="1"/>
    <col min="14587" max="14588" width="8.19921875" style="51"/>
    <col min="14589" max="14590" width="3.296875" style="51" customWidth="1"/>
    <col min="14591" max="14591" width="8.5" style="51" bestFit="1" customWidth="1"/>
    <col min="14592" max="14592" width="9.09765625" style="51" bestFit="1" customWidth="1"/>
    <col min="14593" max="14834" width="8.19921875" style="51"/>
    <col min="14835" max="14835" width="5.09765625" style="51" customWidth="1"/>
    <col min="14836" max="14836" width="3.296875" style="51" customWidth="1"/>
    <col min="14837" max="14837" width="18.796875" style="51" customWidth="1"/>
    <col min="14838" max="14838" width="11.296875" style="51" customWidth="1"/>
    <col min="14839" max="14839" width="8.19921875" style="51"/>
    <col min="14840" max="14840" width="10.59765625" style="51" customWidth="1"/>
    <col min="14841" max="14841" width="3.296875" style="51" customWidth="1"/>
    <col min="14842" max="14842" width="5.09765625" style="51" customWidth="1"/>
    <col min="14843" max="14844" width="8.19921875" style="51"/>
    <col min="14845" max="14846" width="3.296875" style="51" customWidth="1"/>
    <col min="14847" max="14847" width="8.5" style="51" bestFit="1" customWidth="1"/>
    <col min="14848" max="14848" width="9.09765625" style="51" bestFit="1" customWidth="1"/>
    <col min="14849" max="15090" width="8.19921875" style="51"/>
    <col min="15091" max="15091" width="5.09765625" style="51" customWidth="1"/>
    <col min="15092" max="15092" width="3.296875" style="51" customWidth="1"/>
    <col min="15093" max="15093" width="18.796875" style="51" customWidth="1"/>
    <col min="15094" max="15094" width="11.296875" style="51" customWidth="1"/>
    <col min="15095" max="15095" width="8.19921875" style="51"/>
    <col min="15096" max="15096" width="10.59765625" style="51" customWidth="1"/>
    <col min="15097" max="15097" width="3.296875" style="51" customWidth="1"/>
    <col min="15098" max="15098" width="5.09765625" style="51" customWidth="1"/>
    <col min="15099" max="15100" width="8.19921875" style="51"/>
    <col min="15101" max="15102" width="3.296875" style="51" customWidth="1"/>
    <col min="15103" max="15103" width="8.5" style="51" bestFit="1" customWidth="1"/>
    <col min="15104" max="15104" width="9.09765625" style="51" bestFit="1" customWidth="1"/>
    <col min="15105" max="15346" width="8.19921875" style="51"/>
    <col min="15347" max="15347" width="5.09765625" style="51" customWidth="1"/>
    <col min="15348" max="15348" width="3.296875" style="51" customWidth="1"/>
    <col min="15349" max="15349" width="18.796875" style="51" customWidth="1"/>
    <col min="15350" max="15350" width="11.296875" style="51" customWidth="1"/>
    <col min="15351" max="15351" width="8.19921875" style="51"/>
    <col min="15352" max="15352" width="10.59765625" style="51" customWidth="1"/>
    <col min="15353" max="15353" width="3.296875" style="51" customWidth="1"/>
    <col min="15354" max="15354" width="5.09765625" style="51" customWidth="1"/>
    <col min="15355" max="15356" width="8.19921875" style="51"/>
    <col min="15357" max="15358" width="3.296875" style="51" customWidth="1"/>
    <col min="15359" max="15359" width="8.5" style="51" bestFit="1" customWidth="1"/>
    <col min="15360" max="15360" width="9.09765625" style="51" bestFit="1" customWidth="1"/>
    <col min="15361" max="15602" width="8.19921875" style="51"/>
    <col min="15603" max="15603" width="5.09765625" style="51" customWidth="1"/>
    <col min="15604" max="15604" width="3.296875" style="51" customWidth="1"/>
    <col min="15605" max="15605" width="18.796875" style="51" customWidth="1"/>
    <col min="15606" max="15606" width="11.296875" style="51" customWidth="1"/>
    <col min="15607" max="15607" width="8.19921875" style="51"/>
    <col min="15608" max="15608" width="10.59765625" style="51" customWidth="1"/>
    <col min="15609" max="15609" width="3.296875" style="51" customWidth="1"/>
    <col min="15610" max="15610" width="5.09765625" style="51" customWidth="1"/>
    <col min="15611" max="15612" width="8.19921875" style="51"/>
    <col min="15613" max="15614" width="3.296875" style="51" customWidth="1"/>
    <col min="15615" max="15615" width="8.5" style="51" bestFit="1" customWidth="1"/>
    <col min="15616" max="15616" width="9.09765625" style="51" bestFit="1" customWidth="1"/>
    <col min="15617" max="15858" width="8.19921875" style="51"/>
    <col min="15859" max="15859" width="5.09765625" style="51" customWidth="1"/>
    <col min="15860" max="15860" width="3.296875" style="51" customWidth="1"/>
    <col min="15861" max="15861" width="18.796875" style="51" customWidth="1"/>
    <col min="15862" max="15862" width="11.296875" style="51" customWidth="1"/>
    <col min="15863" max="15863" width="8.19921875" style="51"/>
    <col min="15864" max="15864" width="10.59765625" style="51" customWidth="1"/>
    <col min="15865" max="15865" width="3.296875" style="51" customWidth="1"/>
    <col min="15866" max="15866" width="5.09765625" style="51" customWidth="1"/>
    <col min="15867" max="15868" width="8.19921875" style="51"/>
    <col min="15869" max="15870" width="3.296875" style="51" customWidth="1"/>
    <col min="15871" max="15871" width="8.5" style="51" bestFit="1" customWidth="1"/>
    <col min="15872" max="15872" width="9.09765625" style="51" bestFit="1" customWidth="1"/>
    <col min="15873" max="16114" width="8.19921875" style="51"/>
    <col min="16115" max="16115" width="5.09765625" style="51" customWidth="1"/>
    <col min="16116" max="16116" width="3.296875" style="51" customWidth="1"/>
    <col min="16117" max="16117" width="18.796875" style="51" customWidth="1"/>
    <col min="16118" max="16118" width="11.296875" style="51" customWidth="1"/>
    <col min="16119" max="16119" width="8.19921875" style="51"/>
    <col min="16120" max="16120" width="10.59765625" style="51" customWidth="1"/>
    <col min="16121" max="16121" width="3.296875" style="51" customWidth="1"/>
    <col min="16122" max="16122" width="5.09765625" style="51" customWidth="1"/>
    <col min="16123" max="16124" width="8.19921875" style="51"/>
    <col min="16125" max="16126" width="3.296875" style="51" customWidth="1"/>
    <col min="16127" max="16127" width="8.5" style="51" bestFit="1" customWidth="1"/>
    <col min="16128" max="16128" width="9.09765625" style="51" bestFit="1" customWidth="1"/>
    <col min="16129" max="16384" width="8.19921875" style="51"/>
  </cols>
  <sheetData>
    <row r="1" spans="1:10" ht="27" customHeight="1"/>
    <row r="2" spans="1:10" ht="30" customHeight="1">
      <c r="B2" s="155" t="s">
        <v>156</v>
      </c>
      <c r="C2" s="156"/>
      <c r="D2" s="156"/>
      <c r="E2" s="156"/>
      <c r="F2" s="156"/>
      <c r="G2" s="156"/>
      <c r="H2" s="156"/>
      <c r="I2" s="156"/>
    </row>
    <row r="3" spans="1:10" ht="18">
      <c r="I3" s="157" t="s">
        <v>155</v>
      </c>
      <c r="J3" s="158"/>
    </row>
    <row r="4" spans="1:10" ht="18" customHeight="1">
      <c r="A4" s="80"/>
      <c r="B4" s="159" t="s">
        <v>224</v>
      </c>
      <c r="C4" s="160"/>
      <c r="D4" s="160"/>
      <c r="E4" s="81" t="s">
        <v>154</v>
      </c>
      <c r="F4" s="80"/>
      <c r="H4" s="161">
        <v>45548</v>
      </c>
      <c r="I4" s="162"/>
      <c r="J4" s="162"/>
    </row>
    <row r="5" spans="1:10" ht="18" customHeight="1">
      <c r="B5" s="163" t="s">
        <v>225</v>
      </c>
      <c r="C5" s="164"/>
      <c r="D5" s="164"/>
      <c r="E5" s="164"/>
      <c r="H5" s="82"/>
      <c r="I5" s="82" t="s">
        <v>5</v>
      </c>
      <c r="J5" s="82"/>
    </row>
    <row r="6" spans="1:10" ht="18" customHeight="1"/>
    <row r="7" spans="1:10" ht="18" customHeight="1">
      <c r="A7" s="83"/>
      <c r="B7" s="84"/>
      <c r="C7" s="223" t="s">
        <v>153</v>
      </c>
      <c r="D7" s="224"/>
      <c r="E7" s="85">
        <f>ROUNDDOWN(H7*0.3025,1)</f>
        <v>19</v>
      </c>
      <c r="F7" s="117" t="s">
        <v>97</v>
      </c>
      <c r="H7" s="168">
        <v>62.93</v>
      </c>
      <c r="I7" s="169"/>
      <c r="J7" s="116" t="s">
        <v>11</v>
      </c>
    </row>
    <row r="8" spans="1:10" ht="18" customHeight="1">
      <c r="A8" s="83"/>
      <c r="B8" s="86" t="s">
        <v>179</v>
      </c>
      <c r="C8" s="223" t="s">
        <v>152</v>
      </c>
      <c r="D8" s="224"/>
      <c r="E8" s="85">
        <f>ROUNDDOWN(H8*0.3025,1)</f>
        <v>15</v>
      </c>
      <c r="F8" s="118" t="s">
        <v>97</v>
      </c>
      <c r="H8" s="168">
        <v>49.69</v>
      </c>
      <c r="I8" s="169"/>
      <c r="J8" s="116" t="s">
        <v>11</v>
      </c>
    </row>
    <row r="9" spans="1:10" ht="18" customHeight="1">
      <c r="A9" s="83"/>
      <c r="B9" s="87"/>
      <c r="C9" s="223" t="s">
        <v>151</v>
      </c>
      <c r="D9" s="224"/>
      <c r="E9" s="85">
        <f>E7+E8</f>
        <v>34</v>
      </c>
      <c r="F9" s="118" t="s">
        <v>97</v>
      </c>
      <c r="H9" s="170" t="s">
        <v>206</v>
      </c>
      <c r="I9" s="171"/>
      <c r="J9" s="172"/>
    </row>
    <row r="10" spans="1:10" ht="18" customHeight="1">
      <c r="C10" s="226" t="s">
        <v>207</v>
      </c>
      <c r="D10" s="227"/>
      <c r="E10" s="227"/>
      <c r="F10" s="88"/>
    </row>
    <row r="11" spans="1:10" ht="18" customHeight="1">
      <c r="H11" s="173"/>
      <c r="I11" s="174"/>
    </row>
    <row r="12" spans="1:10" ht="18" customHeight="1">
      <c r="A12" s="89" t="s">
        <v>149</v>
      </c>
      <c r="B12" s="51" t="s">
        <v>148</v>
      </c>
      <c r="C12" s="90">
        <v>30</v>
      </c>
      <c r="D12" s="91"/>
      <c r="F12" s="165" t="s">
        <v>131</v>
      </c>
      <c r="G12" s="175"/>
      <c r="H12" s="176">
        <v>15600000</v>
      </c>
      <c r="I12" s="177"/>
    </row>
    <row r="13" spans="1:10" ht="22.05" customHeight="1">
      <c r="A13" s="89"/>
      <c r="C13" s="93" t="s">
        <v>143</v>
      </c>
      <c r="H13" s="178" t="s">
        <v>146</v>
      </c>
      <c r="I13" s="178"/>
      <c r="J13" s="92"/>
    </row>
    <row r="14" spans="1:10" ht="18" customHeight="1">
      <c r="A14" s="89" t="s">
        <v>147</v>
      </c>
      <c r="B14" s="51" t="s">
        <v>180</v>
      </c>
      <c r="C14" s="148">
        <f>E9-C12</f>
        <v>4</v>
      </c>
      <c r="D14" s="92" t="s">
        <v>144</v>
      </c>
      <c r="E14" s="94">
        <v>313000</v>
      </c>
      <c r="F14" s="179" t="s">
        <v>131</v>
      </c>
      <c r="G14" s="175"/>
      <c r="H14" s="180">
        <f>C14*E14</f>
        <v>1252000</v>
      </c>
      <c r="I14" s="181"/>
      <c r="J14" s="95"/>
    </row>
    <row r="15" spans="1:10" ht="22.05" customHeight="1">
      <c r="A15" s="89"/>
      <c r="B15" s="96" t="s">
        <v>182</v>
      </c>
      <c r="C15" s="93" t="s">
        <v>143</v>
      </c>
      <c r="D15" s="97"/>
      <c r="E15" s="96" t="s">
        <v>184</v>
      </c>
      <c r="F15" s="165"/>
      <c r="G15" s="166"/>
      <c r="H15" s="225" t="s">
        <v>146</v>
      </c>
      <c r="I15" s="225"/>
      <c r="J15" s="92"/>
    </row>
    <row r="16" spans="1:10" ht="18" customHeight="1">
      <c r="A16" s="89" t="s">
        <v>145</v>
      </c>
      <c r="B16" s="51" t="s">
        <v>181</v>
      </c>
      <c r="C16" s="148">
        <f>IF(E7-E8&lt;0,0,E7-E8)</f>
        <v>4</v>
      </c>
      <c r="D16" s="92" t="s">
        <v>144</v>
      </c>
      <c r="E16" s="94">
        <v>134000</v>
      </c>
      <c r="F16" s="179" t="s">
        <v>131</v>
      </c>
      <c r="G16" s="175"/>
      <c r="H16" s="180">
        <f>C16*E16</f>
        <v>536000</v>
      </c>
      <c r="I16" s="181"/>
      <c r="J16" s="95"/>
    </row>
    <row r="17" spans="1:10" ht="22.05" customHeight="1" thickBot="1">
      <c r="A17" s="89"/>
      <c r="B17" s="98" t="s">
        <v>183</v>
      </c>
      <c r="C17" s="93" t="s">
        <v>143</v>
      </c>
      <c r="D17" s="97"/>
      <c r="E17" s="96" t="s">
        <v>184</v>
      </c>
      <c r="F17" s="165"/>
      <c r="G17" s="166"/>
      <c r="H17" s="225" t="s">
        <v>142</v>
      </c>
      <c r="I17" s="225"/>
      <c r="J17" s="92"/>
    </row>
    <row r="18" spans="1:10" ht="22.05" customHeight="1" thickBot="1">
      <c r="A18" s="188" t="s">
        <v>177</v>
      </c>
      <c r="B18" s="189"/>
      <c r="C18" s="189"/>
      <c r="D18" s="189"/>
      <c r="E18" s="189"/>
      <c r="F18" s="190" t="s">
        <v>131</v>
      </c>
      <c r="G18" s="191"/>
      <c r="H18" s="192">
        <f>H12+H14+H16</f>
        <v>17388000</v>
      </c>
      <c r="I18" s="193"/>
      <c r="J18" s="92"/>
    </row>
    <row r="19" spans="1:10" ht="22.05" customHeight="1">
      <c r="A19" s="89"/>
      <c r="B19" s="99"/>
      <c r="C19" s="100"/>
      <c r="D19" s="95"/>
      <c r="E19" s="101"/>
      <c r="F19" s="165"/>
      <c r="G19" s="166"/>
      <c r="H19" s="194"/>
      <c r="I19" s="194"/>
      <c r="J19" s="92"/>
    </row>
    <row r="20" spans="1:10" ht="18" customHeight="1">
      <c r="A20" s="89" t="s">
        <v>141</v>
      </c>
      <c r="B20" s="51" t="s">
        <v>140</v>
      </c>
      <c r="C20" s="195" t="s">
        <v>139</v>
      </c>
      <c r="D20" s="196"/>
      <c r="E20" s="196"/>
      <c r="F20" s="196"/>
      <c r="G20" s="196"/>
      <c r="H20" s="196"/>
      <c r="I20" s="102"/>
      <c r="J20" s="95"/>
    </row>
    <row r="21" spans="1:10" ht="18" customHeight="1">
      <c r="B21" s="197" t="s">
        <v>17</v>
      </c>
      <c r="C21" s="198"/>
      <c r="D21" s="198"/>
      <c r="E21" s="103" t="s">
        <v>1</v>
      </c>
      <c r="F21" s="103" t="s">
        <v>2</v>
      </c>
      <c r="G21" s="103" t="s">
        <v>3</v>
      </c>
      <c r="H21" s="197" t="s">
        <v>138</v>
      </c>
      <c r="I21" s="199"/>
      <c r="J21" s="95"/>
    </row>
    <row r="22" spans="1:10" ht="18" customHeight="1">
      <c r="B22" s="182" t="str">
        <f>抽出オプション!A3</f>
        <v>建具追加（3尺巾）</v>
      </c>
      <c r="C22" s="183"/>
      <c r="D22" s="184"/>
      <c r="E22" s="104">
        <f>抽出オプション!B3</f>
        <v>30000</v>
      </c>
      <c r="F22" s="105" t="str">
        <f>抽出オプション!C3</f>
        <v>円</v>
      </c>
      <c r="G22" s="106">
        <f>抽出オプション!D3</f>
        <v>2</v>
      </c>
      <c r="H22" s="185">
        <f>抽出オプション!E3</f>
        <v>60000</v>
      </c>
      <c r="I22" s="186"/>
    </row>
    <row r="23" spans="1:10" ht="18" customHeight="1">
      <c r="B23" s="182" t="str">
        <f>抽出オプション!A4</f>
        <v>3尺可動棚追加</v>
      </c>
      <c r="C23" s="183"/>
      <c r="D23" s="184"/>
      <c r="E23" s="104">
        <f>抽出オプション!B4</f>
        <v>26000</v>
      </c>
      <c r="F23" s="105" t="str">
        <f>抽出オプション!C4</f>
        <v>ヵ所</v>
      </c>
      <c r="G23" s="106">
        <f>抽出オプション!D4</f>
        <v>1</v>
      </c>
      <c r="H23" s="185">
        <f>抽出オプション!E4</f>
        <v>26000</v>
      </c>
      <c r="I23" s="186"/>
    </row>
    <row r="24" spans="1:10" ht="18" customHeight="1">
      <c r="B24" s="182" t="str">
        <f>抽出オプション!A5</f>
        <v>6尺可動棚追加</v>
      </c>
      <c r="C24" s="183"/>
      <c r="D24" s="184"/>
      <c r="E24" s="104">
        <f>抽出オプション!B5</f>
        <v>39000</v>
      </c>
      <c r="F24" s="105" t="str">
        <f>抽出オプション!C5</f>
        <v>ヵ所</v>
      </c>
      <c r="G24" s="106">
        <f>抽出オプション!D5</f>
        <v>1</v>
      </c>
      <c r="H24" s="185">
        <f>抽出オプション!E5</f>
        <v>39000</v>
      </c>
      <c r="I24" s="186"/>
    </row>
    <row r="25" spans="1:10" ht="18" customHeight="1">
      <c r="B25" s="182" t="str">
        <f>抽出オプション!A6</f>
        <v>6尺枕棚＋ハンガーパイプ</v>
      </c>
      <c r="C25" s="183"/>
      <c r="D25" s="184"/>
      <c r="E25" s="104">
        <f>抽出オプション!B6</f>
        <v>14800</v>
      </c>
      <c r="F25" s="105" t="str">
        <f>抽出オプション!C6</f>
        <v>式</v>
      </c>
      <c r="G25" s="106">
        <f>抽出オプション!D6</f>
        <v>1</v>
      </c>
      <c r="H25" s="185">
        <f>抽出オプション!E6</f>
        <v>14800</v>
      </c>
      <c r="I25" s="186"/>
    </row>
    <row r="26" spans="1:10" ht="18" customHeight="1">
      <c r="B26" s="182" t="str">
        <f>抽出オプション!A7</f>
        <v>オプション工事予算</v>
      </c>
      <c r="C26" s="183"/>
      <c r="D26" s="184"/>
      <c r="E26" s="104">
        <f>抽出オプション!B7</f>
        <v>1640000</v>
      </c>
      <c r="F26" s="105" t="str">
        <f>抽出オプション!C7</f>
        <v>式</v>
      </c>
      <c r="G26" s="106">
        <f>抽出オプション!D7</f>
        <v>1</v>
      </c>
      <c r="H26" s="185">
        <f>抽出オプション!E7</f>
        <v>1640000</v>
      </c>
      <c r="I26" s="186"/>
    </row>
    <row r="27" spans="1:10" ht="18" customHeight="1">
      <c r="B27" s="182" t="str">
        <f>抽出オプション!A8</f>
        <v/>
      </c>
      <c r="C27" s="183"/>
      <c r="D27" s="184"/>
      <c r="E27" s="104" t="str">
        <f>抽出オプション!B8</f>
        <v/>
      </c>
      <c r="F27" s="105" t="str">
        <f>抽出オプション!C8</f>
        <v/>
      </c>
      <c r="G27" s="106" t="str">
        <f>抽出オプション!D8</f>
        <v/>
      </c>
      <c r="H27" s="185" t="str">
        <f>抽出オプション!E8</f>
        <v/>
      </c>
      <c r="I27" s="186"/>
    </row>
    <row r="28" spans="1:10" ht="18" customHeight="1">
      <c r="B28" s="182" t="str">
        <f>抽出オプション!A9</f>
        <v/>
      </c>
      <c r="C28" s="183"/>
      <c r="D28" s="184"/>
      <c r="E28" s="104" t="str">
        <f>抽出オプション!B9</f>
        <v/>
      </c>
      <c r="F28" s="105" t="str">
        <f>抽出オプション!C9</f>
        <v/>
      </c>
      <c r="G28" s="106" t="str">
        <f>抽出オプション!D9</f>
        <v/>
      </c>
      <c r="H28" s="185" t="str">
        <f>抽出オプション!E9</f>
        <v/>
      </c>
      <c r="I28" s="186"/>
    </row>
    <row r="29" spans="1:10" ht="18" customHeight="1">
      <c r="B29" s="182" t="str">
        <f>抽出オプション!A10</f>
        <v/>
      </c>
      <c r="C29" s="183"/>
      <c r="D29" s="184"/>
      <c r="E29" s="104" t="str">
        <f>抽出オプション!B10</f>
        <v/>
      </c>
      <c r="F29" s="105" t="str">
        <f>抽出オプション!C10</f>
        <v/>
      </c>
      <c r="G29" s="106" t="str">
        <f>抽出オプション!D10</f>
        <v/>
      </c>
      <c r="H29" s="185" t="str">
        <f>抽出オプション!E10</f>
        <v/>
      </c>
      <c r="I29" s="186"/>
    </row>
    <row r="30" spans="1:10" ht="18" customHeight="1">
      <c r="B30" s="182" t="str">
        <f>抽出オプション!A11</f>
        <v/>
      </c>
      <c r="C30" s="183"/>
      <c r="D30" s="184"/>
      <c r="E30" s="104" t="str">
        <f>抽出オプション!B11</f>
        <v/>
      </c>
      <c r="F30" s="105" t="str">
        <f>抽出オプション!C11</f>
        <v/>
      </c>
      <c r="G30" s="106" t="str">
        <f>抽出オプション!D11</f>
        <v/>
      </c>
      <c r="H30" s="185" t="str">
        <f>抽出オプション!E11</f>
        <v/>
      </c>
      <c r="I30" s="186"/>
    </row>
    <row r="31" spans="1:10" ht="18" customHeight="1">
      <c r="B31" s="182" t="str">
        <f>抽出オプション!A12</f>
        <v/>
      </c>
      <c r="C31" s="183"/>
      <c r="D31" s="184"/>
      <c r="E31" s="104" t="str">
        <f>抽出オプション!B12</f>
        <v/>
      </c>
      <c r="F31" s="105" t="str">
        <f>抽出オプション!C12</f>
        <v/>
      </c>
      <c r="G31" s="106" t="str">
        <f>抽出オプション!D12</f>
        <v/>
      </c>
      <c r="H31" s="185" t="str">
        <f>抽出オプション!E12</f>
        <v/>
      </c>
      <c r="I31" s="186"/>
    </row>
    <row r="32" spans="1:10" ht="18" customHeight="1">
      <c r="B32" s="182" t="str">
        <f>抽出オプション!A13</f>
        <v/>
      </c>
      <c r="C32" s="183"/>
      <c r="D32" s="184"/>
      <c r="E32" s="104" t="str">
        <f>抽出オプション!B13</f>
        <v/>
      </c>
      <c r="F32" s="105" t="str">
        <f>抽出オプション!C13</f>
        <v/>
      </c>
      <c r="G32" s="106" t="str">
        <f>抽出オプション!D13</f>
        <v/>
      </c>
      <c r="H32" s="185" t="str">
        <f>抽出オプション!E13</f>
        <v/>
      </c>
      <c r="I32" s="186"/>
    </row>
    <row r="33" spans="2:11" ht="18" customHeight="1">
      <c r="B33" s="182" t="str">
        <f>抽出オプション!A14</f>
        <v/>
      </c>
      <c r="C33" s="183"/>
      <c r="D33" s="184"/>
      <c r="E33" s="104" t="str">
        <f>抽出オプション!B14</f>
        <v/>
      </c>
      <c r="F33" s="105" t="str">
        <f>抽出オプション!C14</f>
        <v/>
      </c>
      <c r="G33" s="106" t="str">
        <f>抽出オプション!D14</f>
        <v/>
      </c>
      <c r="H33" s="185" t="str">
        <f>抽出オプション!E14</f>
        <v/>
      </c>
      <c r="I33" s="186"/>
    </row>
    <row r="34" spans="2:11" ht="18" customHeight="1">
      <c r="B34" s="182" t="str">
        <f>抽出オプション!A15</f>
        <v/>
      </c>
      <c r="C34" s="183"/>
      <c r="D34" s="184"/>
      <c r="E34" s="104" t="str">
        <f>抽出オプション!B15</f>
        <v/>
      </c>
      <c r="F34" s="105" t="str">
        <f>抽出オプション!C15</f>
        <v/>
      </c>
      <c r="G34" s="106" t="str">
        <f>抽出オプション!D15</f>
        <v/>
      </c>
      <c r="H34" s="185" t="str">
        <f>抽出オプション!E15</f>
        <v/>
      </c>
      <c r="I34" s="186"/>
    </row>
    <row r="35" spans="2:11" ht="18" customHeight="1">
      <c r="B35" s="182" t="str">
        <f>抽出オプション!A16</f>
        <v/>
      </c>
      <c r="C35" s="183"/>
      <c r="D35" s="184"/>
      <c r="E35" s="104" t="str">
        <f>抽出オプション!B16</f>
        <v/>
      </c>
      <c r="F35" s="105" t="str">
        <f>抽出オプション!C16</f>
        <v/>
      </c>
      <c r="G35" s="106" t="str">
        <f>抽出オプション!D16</f>
        <v/>
      </c>
      <c r="H35" s="185" t="str">
        <f>抽出オプション!E16</f>
        <v/>
      </c>
      <c r="I35" s="186"/>
    </row>
    <row r="36" spans="2:11" ht="18" customHeight="1">
      <c r="B36" s="182" t="str">
        <f>抽出オプション!A17</f>
        <v/>
      </c>
      <c r="C36" s="183"/>
      <c r="D36" s="184"/>
      <c r="E36" s="104" t="str">
        <f>抽出オプション!B17</f>
        <v/>
      </c>
      <c r="F36" s="105" t="str">
        <f>抽出オプション!C17</f>
        <v/>
      </c>
      <c r="G36" s="106" t="str">
        <f>抽出オプション!D17</f>
        <v/>
      </c>
      <c r="H36" s="185" t="str">
        <f>抽出オプション!E17</f>
        <v/>
      </c>
      <c r="I36" s="186"/>
    </row>
    <row r="37" spans="2:11" ht="18" customHeight="1">
      <c r="B37" s="182" t="str">
        <f>抽出オプション!A18</f>
        <v/>
      </c>
      <c r="C37" s="183"/>
      <c r="D37" s="184"/>
      <c r="E37" s="104" t="str">
        <f>抽出オプション!B18</f>
        <v/>
      </c>
      <c r="F37" s="105" t="str">
        <f>抽出オプション!C18</f>
        <v/>
      </c>
      <c r="G37" s="106" t="str">
        <f>抽出オプション!D18</f>
        <v/>
      </c>
      <c r="H37" s="185" t="str">
        <f>抽出オプション!E18</f>
        <v/>
      </c>
      <c r="I37" s="186"/>
    </row>
    <row r="38" spans="2:11" ht="18" customHeight="1">
      <c r="B38" s="182" t="str">
        <f>抽出オプション!A19</f>
        <v/>
      </c>
      <c r="C38" s="183"/>
      <c r="D38" s="184"/>
      <c r="E38" s="104" t="str">
        <f>抽出オプション!B19</f>
        <v/>
      </c>
      <c r="F38" s="105" t="str">
        <f>抽出オプション!C19</f>
        <v/>
      </c>
      <c r="G38" s="106" t="str">
        <f>抽出オプション!D19</f>
        <v/>
      </c>
      <c r="H38" s="185" t="str">
        <f>抽出オプション!E19</f>
        <v/>
      </c>
      <c r="I38" s="186"/>
    </row>
    <row r="39" spans="2:11" ht="18" customHeight="1" thickBot="1">
      <c r="B39" s="182" t="str">
        <f>抽出オプション!A20</f>
        <v/>
      </c>
      <c r="C39" s="183"/>
      <c r="D39" s="184"/>
      <c r="E39" s="104" t="str">
        <f>抽出オプション!B20</f>
        <v/>
      </c>
      <c r="F39" s="105" t="str">
        <f>抽出オプション!C20</f>
        <v/>
      </c>
      <c r="G39" s="106" t="str">
        <f>抽出オプション!D20</f>
        <v/>
      </c>
      <c r="H39" s="185" t="str">
        <f>抽出オプション!E20</f>
        <v/>
      </c>
      <c r="I39" s="186"/>
    </row>
    <row r="40" spans="2:11" ht="18" customHeight="1" thickBot="1">
      <c r="B40" s="107" t="s">
        <v>137</v>
      </c>
      <c r="C40" s="108"/>
      <c r="D40" s="108"/>
      <c r="E40" s="109"/>
      <c r="F40" s="219" t="s">
        <v>131</v>
      </c>
      <c r="G40" s="220"/>
      <c r="H40" s="221">
        <f>全オプション!E1</f>
        <v>1779800</v>
      </c>
      <c r="I40" s="222"/>
      <c r="J40" s="95"/>
      <c r="K40" s="52">
        <f>SUM(H21:I39)</f>
        <v>1779800</v>
      </c>
    </row>
    <row r="41" spans="2:11" ht="18" customHeight="1" thickBot="1">
      <c r="H41" s="110"/>
      <c r="I41" s="110"/>
    </row>
    <row r="42" spans="2:11" ht="18" customHeight="1" thickTop="1" thickBot="1">
      <c r="B42" s="111" t="s">
        <v>133</v>
      </c>
      <c r="C42" s="112" t="s">
        <v>136</v>
      </c>
      <c r="D42" s="212" t="s">
        <v>176</v>
      </c>
      <c r="E42" s="213"/>
      <c r="F42" s="200" t="s">
        <v>131</v>
      </c>
      <c r="G42" s="200"/>
      <c r="H42" s="201">
        <f>ROUNDDOWN(H18+H40,-4)</f>
        <v>19160000</v>
      </c>
      <c r="I42" s="202"/>
      <c r="J42" s="95"/>
    </row>
    <row r="43" spans="2:11" ht="18" customHeight="1" thickTop="1">
      <c r="B43" s="113"/>
      <c r="H43" s="214" t="s">
        <v>178</v>
      </c>
      <c r="I43" s="215"/>
    </row>
    <row r="44" spans="2:11" ht="18" customHeight="1">
      <c r="B44" s="111" t="s">
        <v>135</v>
      </c>
      <c r="C44" s="114" t="s">
        <v>134</v>
      </c>
      <c r="F44" s="200" t="s">
        <v>131</v>
      </c>
      <c r="G44" s="216"/>
      <c r="H44" s="217">
        <f>ROUNDDOWN(H42*0.1,0)</f>
        <v>1916000</v>
      </c>
      <c r="I44" s="218"/>
      <c r="J44" s="95"/>
    </row>
    <row r="45" spans="2:11" ht="18" customHeight="1" thickBot="1">
      <c r="B45" s="113"/>
      <c r="H45" s="115"/>
      <c r="I45" s="115"/>
    </row>
    <row r="46" spans="2:11" ht="18" customHeight="1" thickTop="1" thickBot="1">
      <c r="B46" s="111" t="s">
        <v>133</v>
      </c>
      <c r="C46" s="112" t="s">
        <v>132</v>
      </c>
      <c r="F46" s="200" t="s">
        <v>131</v>
      </c>
      <c r="G46" s="200"/>
      <c r="H46" s="201">
        <f>H42+H44</f>
        <v>21076000</v>
      </c>
      <c r="I46" s="202"/>
      <c r="J46" s="95"/>
    </row>
    <row r="47" spans="2:11" ht="15" thickTop="1"/>
  </sheetData>
  <sheetProtection algorithmName="SHA-512" hashValue="sdJCa8K5tdhTsjVUkhucomPFeDZ/Hvc4UHURQSaL7ngWNqoH8kWOimIIUT4ixaguEaHlMPh54n8owN82w1TWug==" saltValue="yiYitn08edkhj5xQmJ27rg==" spinCount="100000" sheet="1" objects="1" scenarios="1"/>
  <mergeCells count="78">
    <mergeCell ref="B2:I2"/>
    <mergeCell ref="I3:J3"/>
    <mergeCell ref="B4:D4"/>
    <mergeCell ref="H4:J4"/>
    <mergeCell ref="H7:I7"/>
    <mergeCell ref="B5:E5"/>
    <mergeCell ref="C7:D7"/>
    <mergeCell ref="H16:I16"/>
    <mergeCell ref="F18:G18"/>
    <mergeCell ref="H8:I8"/>
    <mergeCell ref="C10:E10"/>
    <mergeCell ref="H9:J9"/>
    <mergeCell ref="F12:G12"/>
    <mergeCell ref="H12:I12"/>
    <mergeCell ref="C8:D8"/>
    <mergeCell ref="H11:I11"/>
    <mergeCell ref="H13:I13"/>
    <mergeCell ref="F14:G14"/>
    <mergeCell ref="H14:I14"/>
    <mergeCell ref="F15:G15"/>
    <mergeCell ref="H15:I15"/>
    <mergeCell ref="B28:D28"/>
    <mergeCell ref="B26:D26"/>
    <mergeCell ref="B27:D27"/>
    <mergeCell ref="H27:I27"/>
    <mergeCell ref="H17:I17"/>
    <mergeCell ref="H18:I18"/>
    <mergeCell ref="B21:D21"/>
    <mergeCell ref="B22:D22"/>
    <mergeCell ref="B23:D23"/>
    <mergeCell ref="B24:D24"/>
    <mergeCell ref="B25:D25"/>
    <mergeCell ref="F46:G46"/>
    <mergeCell ref="H46:I46"/>
    <mergeCell ref="H39:I39"/>
    <mergeCell ref="F40:G40"/>
    <mergeCell ref="H40:I40"/>
    <mergeCell ref="F42:G42"/>
    <mergeCell ref="H42:I42"/>
    <mergeCell ref="F44:G44"/>
    <mergeCell ref="B32:D32"/>
    <mergeCell ref="H32:I32"/>
    <mergeCell ref="F19:G19"/>
    <mergeCell ref="C9:D9"/>
    <mergeCell ref="F16:G16"/>
    <mergeCell ref="F17:G17"/>
    <mergeCell ref="A18:E18"/>
    <mergeCell ref="H19:I19"/>
    <mergeCell ref="H21:I21"/>
    <mergeCell ref="H22:I22"/>
    <mergeCell ref="H23:I23"/>
    <mergeCell ref="H24:I24"/>
    <mergeCell ref="H26:I26"/>
    <mergeCell ref="H25:I25"/>
    <mergeCell ref="H28:I28"/>
    <mergeCell ref="C20:H20"/>
    <mergeCell ref="B34:D34"/>
    <mergeCell ref="H34:I34"/>
    <mergeCell ref="B33:D33"/>
    <mergeCell ref="H33:I33"/>
    <mergeCell ref="H44:I44"/>
    <mergeCell ref="H38:I38"/>
    <mergeCell ref="D42:E42"/>
    <mergeCell ref="H43:I43"/>
    <mergeCell ref="B35:D35"/>
    <mergeCell ref="B36:D36"/>
    <mergeCell ref="B37:D37"/>
    <mergeCell ref="B38:D38"/>
    <mergeCell ref="B39:D39"/>
    <mergeCell ref="H35:I35"/>
    <mergeCell ref="H36:I36"/>
    <mergeCell ref="H37:I37"/>
    <mergeCell ref="H29:I29"/>
    <mergeCell ref="H30:I30"/>
    <mergeCell ref="B29:D29"/>
    <mergeCell ref="B31:D31"/>
    <mergeCell ref="H31:I31"/>
    <mergeCell ref="B30:D30"/>
  </mergeCells>
  <phoneticPr fontId="2"/>
  <pageMargins left="1.0236220472440944" right="0.23622047244094491" top="0.35433070866141736" bottom="0.55118110236220474" header="0.31496062992125984" footer="0.31496062992125984"/>
  <pageSetup paperSize="9" scale="86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C2E5-B8F6-4FBB-AED3-4C13994CD66B}">
  <dimension ref="A1:P235"/>
  <sheetViews>
    <sheetView tabSelected="1" view="pageBreakPreview" topLeftCell="A55" zoomScale="122" zoomScaleNormal="100" zoomScaleSheetLayoutView="130" workbookViewId="0">
      <selection activeCell="L65" sqref="L65"/>
    </sheetView>
  </sheetViews>
  <sheetFormatPr defaultRowHeight="18"/>
  <cols>
    <col min="1" max="1" width="35.59765625" customWidth="1"/>
    <col min="2" max="2" width="12.59765625" customWidth="1"/>
    <col min="3" max="3" width="4.59765625" customWidth="1"/>
    <col min="4" max="4" width="11.59765625" customWidth="1"/>
    <col min="5" max="5" width="15.59765625" customWidth="1"/>
    <col min="6" max="6" width="4.59765625" customWidth="1"/>
    <col min="7" max="7" width="10.69921875" bestFit="1" customWidth="1"/>
    <col min="8" max="8" width="10.5" bestFit="1" customWidth="1"/>
    <col min="9" max="9" width="11.3984375" customWidth="1"/>
    <col min="13" max="13" width="10.19921875" bestFit="1" customWidth="1"/>
  </cols>
  <sheetData>
    <row r="1" spans="1:16" ht="17.850000000000001" customHeight="1">
      <c r="A1" s="1" t="s">
        <v>13</v>
      </c>
      <c r="E1" s="28">
        <f>抽出オプション!E1</f>
        <v>1779800</v>
      </c>
      <c r="G1" s="17"/>
      <c r="H1" s="17"/>
      <c r="K1" s="17"/>
    </row>
    <row r="2" spans="1:16" ht="17.850000000000001" customHeight="1">
      <c r="A2" s="29" t="s">
        <v>0</v>
      </c>
      <c r="B2" s="30" t="s">
        <v>1</v>
      </c>
      <c r="C2" s="31" t="s">
        <v>2</v>
      </c>
      <c r="D2" s="30" t="s">
        <v>3</v>
      </c>
      <c r="E2" s="32" t="s">
        <v>4</v>
      </c>
      <c r="G2" s="40"/>
      <c r="H2" s="23" t="s">
        <v>6</v>
      </c>
      <c r="I2" s="10" t="s">
        <v>10</v>
      </c>
      <c r="J2" s="10" t="s">
        <v>7</v>
      </c>
      <c r="K2" s="17" t="s">
        <v>14</v>
      </c>
      <c r="M2" s="27"/>
    </row>
    <row r="3" spans="1:16" ht="17.850000000000001" customHeight="1">
      <c r="A3" s="6" t="s">
        <v>159</v>
      </c>
      <c r="B3" s="33">
        <f>ROUNDUP(H3/0.7,-1)</f>
        <v>75000</v>
      </c>
      <c r="C3" s="7" t="s">
        <v>173</v>
      </c>
      <c r="D3" s="39">
        <v>0</v>
      </c>
      <c r="E3" s="34">
        <f>B3*D3</f>
        <v>0</v>
      </c>
      <c r="F3" s="2" t="str">
        <f>IF(D3&gt;0,ROW(),"")</f>
        <v/>
      </c>
      <c r="G3" s="41"/>
      <c r="H3" s="24">
        <f>(2000*2)+(5500*5)+(5000)+10000+6000</f>
        <v>52500</v>
      </c>
      <c r="I3" s="35">
        <f t="shared" ref="I3:I10" si="0">H3*D3</f>
        <v>0</v>
      </c>
      <c r="J3" s="36" t="e">
        <f>1-I3/E3</f>
        <v>#DIV/0!</v>
      </c>
      <c r="K3" s="17" t="s">
        <v>172</v>
      </c>
    </row>
    <row r="4" spans="1:16" ht="17.850000000000001" customHeight="1">
      <c r="A4" s="6" t="s">
        <v>160</v>
      </c>
      <c r="B4" s="33">
        <f t="shared" ref="B4:B67" si="1">ROUNDUP(H4/0.7,-1)</f>
        <v>25000</v>
      </c>
      <c r="C4" s="7" t="s">
        <v>11</v>
      </c>
      <c r="D4" s="39">
        <v>0</v>
      </c>
      <c r="E4" s="34">
        <f t="shared" ref="E4:E10" si="2">B4*D4</f>
        <v>0</v>
      </c>
      <c r="F4" s="2" t="str">
        <f>IF(D4&gt;0,ROW(),"")</f>
        <v/>
      </c>
      <c r="G4" s="42"/>
      <c r="H4" s="25">
        <f>9000+2000+3500+3000</f>
        <v>17500</v>
      </c>
      <c r="I4" s="35">
        <f t="shared" si="0"/>
        <v>0</v>
      </c>
      <c r="J4" s="36" t="e">
        <f>1-I4/E4</f>
        <v>#DIV/0!</v>
      </c>
      <c r="K4" t="s">
        <v>171</v>
      </c>
    </row>
    <row r="5" spans="1:16" ht="17.850000000000001" customHeight="1">
      <c r="A5" s="6" t="s">
        <v>161</v>
      </c>
      <c r="B5" s="33">
        <f t="shared" si="1"/>
        <v>20000</v>
      </c>
      <c r="C5" s="7" t="s">
        <v>11</v>
      </c>
      <c r="D5" s="39"/>
      <c r="E5" s="34">
        <f t="shared" si="2"/>
        <v>0</v>
      </c>
      <c r="F5" s="2" t="str">
        <f t="shared" ref="F5:F67" si="3">IF(D5&gt;0,ROW(),"")</f>
        <v/>
      </c>
      <c r="G5" s="42"/>
      <c r="H5" s="25">
        <v>14000</v>
      </c>
      <c r="I5" s="35">
        <f t="shared" si="0"/>
        <v>0</v>
      </c>
      <c r="J5" s="36" t="e">
        <f>1-I5/E5</f>
        <v>#DIV/0!</v>
      </c>
    </row>
    <row r="6" spans="1:16" ht="17.850000000000001" customHeight="1">
      <c r="A6" s="6" t="s">
        <v>170</v>
      </c>
      <c r="B6" s="33">
        <f t="shared" si="1"/>
        <v>30000</v>
      </c>
      <c r="C6" s="7" t="s">
        <v>11</v>
      </c>
      <c r="D6" s="39"/>
      <c r="E6" s="34">
        <f>B6*D6</f>
        <v>0</v>
      </c>
      <c r="F6" s="2" t="str">
        <f t="shared" si="3"/>
        <v/>
      </c>
      <c r="G6" s="42"/>
      <c r="H6" s="25">
        <v>21000</v>
      </c>
      <c r="I6" s="35">
        <f t="shared" si="0"/>
        <v>0</v>
      </c>
      <c r="J6" s="36" t="e">
        <f>1-I6/E6</f>
        <v>#DIV/0!</v>
      </c>
      <c r="K6" s="17"/>
      <c r="L6" s="17"/>
      <c r="M6" s="17"/>
      <c r="N6" s="17"/>
      <c r="O6" s="17"/>
      <c r="P6" s="17"/>
    </row>
    <row r="7" spans="1:16" ht="17.850000000000001" customHeight="1">
      <c r="A7" s="6" t="s">
        <v>162</v>
      </c>
      <c r="B7" s="33">
        <f t="shared" si="1"/>
        <v>15000</v>
      </c>
      <c r="C7" s="7" t="s">
        <v>174</v>
      </c>
      <c r="D7" s="39"/>
      <c r="E7" s="34">
        <f>B7*D7</f>
        <v>0</v>
      </c>
      <c r="F7" s="2" t="str">
        <f t="shared" si="3"/>
        <v/>
      </c>
      <c r="G7" s="42"/>
      <c r="H7" s="25">
        <v>10500</v>
      </c>
      <c r="I7" s="35">
        <f t="shared" si="0"/>
        <v>0</v>
      </c>
      <c r="J7" s="36" t="e">
        <f t="shared" ref="J7:J70" si="4">1-I7/E7</f>
        <v>#DIV/0!</v>
      </c>
      <c r="K7" s="17"/>
      <c r="L7" s="17"/>
      <c r="M7" s="17"/>
      <c r="N7" s="17"/>
      <c r="O7" s="17"/>
      <c r="P7" s="17"/>
    </row>
    <row r="8" spans="1:16" ht="17.850000000000001" customHeight="1">
      <c r="A8" s="26" t="s">
        <v>163</v>
      </c>
      <c r="B8" s="33">
        <f t="shared" si="1"/>
        <v>22000</v>
      </c>
      <c r="C8" s="7" t="s">
        <v>174</v>
      </c>
      <c r="D8" s="39"/>
      <c r="E8" s="34">
        <f t="shared" si="2"/>
        <v>0</v>
      </c>
      <c r="F8" s="2" t="str">
        <f t="shared" si="3"/>
        <v/>
      </c>
      <c r="G8" s="42"/>
      <c r="H8" s="25">
        <v>15400</v>
      </c>
      <c r="I8" s="35">
        <f t="shared" si="0"/>
        <v>0</v>
      </c>
      <c r="J8" s="36" t="e">
        <f t="shared" si="4"/>
        <v>#DIV/0!</v>
      </c>
      <c r="K8" s="17"/>
      <c r="L8" s="17"/>
      <c r="M8" s="17"/>
      <c r="N8" s="17"/>
      <c r="O8" s="17"/>
      <c r="P8" s="17"/>
    </row>
    <row r="9" spans="1:16" ht="17.850000000000001" customHeight="1">
      <c r="A9" s="6" t="s">
        <v>164</v>
      </c>
      <c r="B9" s="33">
        <f t="shared" si="1"/>
        <v>56000</v>
      </c>
      <c r="C9" s="7" t="s">
        <v>174</v>
      </c>
      <c r="D9" s="39"/>
      <c r="E9" s="34">
        <f t="shared" si="2"/>
        <v>0</v>
      </c>
      <c r="F9" s="2" t="str">
        <f t="shared" si="3"/>
        <v/>
      </c>
      <c r="G9" s="43"/>
      <c r="H9" s="25">
        <v>39200</v>
      </c>
      <c r="I9" s="35">
        <f t="shared" si="0"/>
        <v>0</v>
      </c>
      <c r="J9" s="36" t="e">
        <f t="shared" si="4"/>
        <v>#DIV/0!</v>
      </c>
      <c r="K9" s="17"/>
      <c r="L9" s="17"/>
      <c r="M9" s="17"/>
      <c r="N9" s="17"/>
      <c r="O9" s="17"/>
      <c r="P9" s="17"/>
    </row>
    <row r="10" spans="1:16" ht="17.850000000000001" customHeight="1">
      <c r="A10" s="26" t="s">
        <v>165</v>
      </c>
      <c r="B10" s="33">
        <f t="shared" si="1"/>
        <v>144000</v>
      </c>
      <c r="C10" s="7" t="s">
        <v>8</v>
      </c>
      <c r="D10" s="39"/>
      <c r="E10" s="34">
        <f t="shared" si="2"/>
        <v>0</v>
      </c>
      <c r="F10" s="2" t="str">
        <f t="shared" si="3"/>
        <v/>
      </c>
      <c r="G10" s="43"/>
      <c r="H10" s="25">
        <v>100800</v>
      </c>
      <c r="I10" s="35">
        <f t="shared" si="0"/>
        <v>0</v>
      </c>
      <c r="J10" s="36" t="e">
        <f t="shared" si="4"/>
        <v>#DIV/0!</v>
      </c>
      <c r="K10" s="17"/>
      <c r="L10" s="17"/>
      <c r="M10" s="17"/>
      <c r="N10" s="17"/>
      <c r="O10" s="17"/>
      <c r="P10" s="17"/>
    </row>
    <row r="11" spans="1:16" ht="17.850000000000001" customHeight="1">
      <c r="A11" s="6" t="s">
        <v>195</v>
      </c>
      <c r="B11" s="33">
        <f t="shared" si="1"/>
        <v>45000</v>
      </c>
      <c r="C11" s="7" t="s">
        <v>175</v>
      </c>
      <c r="D11" s="39"/>
      <c r="E11" s="34">
        <f>B11*D11</f>
        <v>0</v>
      </c>
      <c r="F11" s="2" t="str">
        <f t="shared" si="3"/>
        <v/>
      </c>
      <c r="G11" s="43"/>
      <c r="H11" s="25">
        <v>31500</v>
      </c>
      <c r="I11" s="35">
        <f t="shared" ref="I11:I70" si="5">H11*D11</f>
        <v>0</v>
      </c>
      <c r="J11" s="36" t="e">
        <f t="shared" si="4"/>
        <v>#DIV/0!</v>
      </c>
      <c r="K11" s="17" t="s">
        <v>222</v>
      </c>
      <c r="L11" s="17"/>
      <c r="M11" s="17"/>
      <c r="N11" s="17"/>
      <c r="O11" s="17"/>
      <c r="P11" s="17"/>
    </row>
    <row r="12" spans="1:16" ht="17.850000000000001" customHeight="1">
      <c r="A12" s="6" t="s">
        <v>166</v>
      </c>
      <c r="B12" s="33">
        <f t="shared" si="1"/>
        <v>40000</v>
      </c>
      <c r="C12" s="7" t="s">
        <v>226</v>
      </c>
      <c r="D12" s="39"/>
      <c r="E12" s="34">
        <f t="shared" ref="E12:E75" si="6">B12*D12</f>
        <v>0</v>
      </c>
      <c r="F12" s="2" t="str">
        <f t="shared" si="3"/>
        <v/>
      </c>
      <c r="G12" s="43"/>
      <c r="H12" s="25">
        <v>28000</v>
      </c>
      <c r="I12" s="35">
        <f t="shared" si="5"/>
        <v>0</v>
      </c>
      <c r="J12" s="36" t="e">
        <f t="shared" si="4"/>
        <v>#DIV/0!</v>
      </c>
      <c r="K12" s="17" t="s">
        <v>220</v>
      </c>
      <c r="L12" s="17"/>
      <c r="M12" s="17"/>
      <c r="N12" s="17"/>
      <c r="O12" s="17"/>
      <c r="P12" s="17"/>
    </row>
    <row r="13" spans="1:16" ht="17.850000000000001" customHeight="1">
      <c r="A13" s="6" t="s">
        <v>167</v>
      </c>
      <c r="B13" s="33">
        <f t="shared" si="1"/>
        <v>30000</v>
      </c>
      <c r="C13" s="7" t="s">
        <v>226</v>
      </c>
      <c r="D13" s="39">
        <v>2</v>
      </c>
      <c r="E13" s="34">
        <f t="shared" si="6"/>
        <v>60000</v>
      </c>
      <c r="F13" s="2">
        <f t="shared" si="3"/>
        <v>13</v>
      </c>
      <c r="G13" s="43"/>
      <c r="H13" s="25">
        <v>21000</v>
      </c>
      <c r="I13" s="35">
        <f t="shared" si="5"/>
        <v>42000</v>
      </c>
      <c r="J13" s="36">
        <f t="shared" si="4"/>
        <v>0.30000000000000004</v>
      </c>
      <c r="K13" s="17" t="s">
        <v>221</v>
      </c>
      <c r="L13" s="17"/>
      <c r="M13" s="17"/>
      <c r="N13" s="17"/>
      <c r="O13" s="17"/>
      <c r="P13" s="17"/>
    </row>
    <row r="14" spans="1:16" ht="17.850000000000001" customHeight="1">
      <c r="A14" s="6" t="s">
        <v>168</v>
      </c>
      <c r="B14" s="33">
        <f t="shared" si="1"/>
        <v>60000</v>
      </c>
      <c r="C14" s="7" t="s">
        <v>226</v>
      </c>
      <c r="D14" s="39"/>
      <c r="E14" s="34">
        <f t="shared" si="6"/>
        <v>0</v>
      </c>
      <c r="F14" s="2" t="str">
        <f t="shared" si="3"/>
        <v/>
      </c>
      <c r="G14" s="43"/>
      <c r="H14" s="25">
        <v>42000</v>
      </c>
      <c r="I14" s="35">
        <f t="shared" si="5"/>
        <v>0</v>
      </c>
      <c r="J14" s="36" t="e">
        <f t="shared" si="4"/>
        <v>#DIV/0!</v>
      </c>
      <c r="K14" s="17" t="s">
        <v>220</v>
      </c>
      <c r="L14" s="17"/>
      <c r="M14" s="17"/>
      <c r="N14" s="17"/>
      <c r="O14" s="17"/>
      <c r="P14" s="17"/>
    </row>
    <row r="15" spans="1:16" ht="17.850000000000001" customHeight="1">
      <c r="A15" s="6" t="s">
        <v>223</v>
      </c>
      <c r="B15" s="33">
        <f t="shared" si="1"/>
        <v>2000000</v>
      </c>
      <c r="C15" s="7" t="s">
        <v>11</v>
      </c>
      <c r="D15" s="39"/>
      <c r="E15" s="34">
        <f t="shared" si="6"/>
        <v>0</v>
      </c>
      <c r="F15" s="2" t="str">
        <f t="shared" si="3"/>
        <v/>
      </c>
      <c r="G15" s="42"/>
      <c r="H15" s="25">
        <v>1400000</v>
      </c>
      <c r="I15" s="35">
        <f t="shared" si="5"/>
        <v>0</v>
      </c>
      <c r="J15" s="36" t="e">
        <f t="shared" si="4"/>
        <v>#DIV/0!</v>
      </c>
      <c r="K15" s="17"/>
      <c r="L15" s="17"/>
      <c r="M15" s="17"/>
      <c r="N15" s="17"/>
      <c r="O15" s="17"/>
      <c r="P15" s="17"/>
    </row>
    <row r="16" spans="1:16" ht="17.850000000000001" customHeight="1">
      <c r="A16" s="6"/>
      <c r="B16" s="33">
        <f t="shared" si="1"/>
        <v>0</v>
      </c>
      <c r="C16" s="7" t="s">
        <v>11</v>
      </c>
      <c r="D16" s="39"/>
      <c r="E16" s="34">
        <f t="shared" si="6"/>
        <v>0</v>
      </c>
      <c r="F16" s="2" t="str">
        <f t="shared" si="3"/>
        <v/>
      </c>
      <c r="G16" s="43"/>
      <c r="H16" s="25"/>
      <c r="I16" s="35">
        <f t="shared" si="5"/>
        <v>0</v>
      </c>
      <c r="J16" s="36" t="e">
        <f t="shared" ref="J16:J18" si="7">1-I16/E16</f>
        <v>#DIV/0!</v>
      </c>
      <c r="K16" s="17"/>
      <c r="L16" s="17"/>
      <c r="M16" s="17"/>
      <c r="N16" s="17"/>
      <c r="O16" s="17"/>
      <c r="P16" s="17"/>
    </row>
    <row r="17" spans="1:16" ht="17.850000000000001" customHeight="1">
      <c r="A17" s="6"/>
      <c r="B17" s="33">
        <f t="shared" si="1"/>
        <v>0</v>
      </c>
      <c r="C17" s="7" t="s">
        <v>11</v>
      </c>
      <c r="D17" s="39"/>
      <c r="E17" s="34">
        <f t="shared" si="6"/>
        <v>0</v>
      </c>
      <c r="F17" s="2" t="str">
        <f t="shared" si="3"/>
        <v/>
      </c>
      <c r="G17" s="40"/>
      <c r="H17" s="25"/>
      <c r="I17" s="35">
        <f t="shared" ref="I17:I18" si="8">H17*D17</f>
        <v>0</v>
      </c>
      <c r="J17" s="36" t="e">
        <f t="shared" si="7"/>
        <v>#DIV/0!</v>
      </c>
      <c r="K17" s="17"/>
      <c r="L17" s="17"/>
      <c r="M17" s="17"/>
      <c r="N17" s="17"/>
      <c r="O17" s="17"/>
      <c r="P17" s="17"/>
    </row>
    <row r="18" spans="1:16" ht="17.850000000000001" customHeight="1">
      <c r="A18" s="6" t="s">
        <v>16</v>
      </c>
      <c r="B18" s="33">
        <f t="shared" si="1"/>
        <v>0</v>
      </c>
      <c r="C18" s="7"/>
      <c r="D18" s="39"/>
      <c r="E18" s="34">
        <f t="shared" si="6"/>
        <v>0</v>
      </c>
      <c r="F18" s="2" t="str">
        <f t="shared" si="3"/>
        <v/>
      </c>
      <c r="G18" s="43"/>
      <c r="H18" s="25"/>
      <c r="I18" s="35">
        <f t="shared" si="8"/>
        <v>0</v>
      </c>
      <c r="J18" s="36" t="e">
        <f t="shared" si="7"/>
        <v>#DIV/0!</v>
      </c>
      <c r="K18" s="17"/>
      <c r="M18" s="17"/>
      <c r="N18" s="17"/>
      <c r="O18" s="17"/>
      <c r="P18" s="17"/>
    </row>
    <row r="19" spans="1:16" ht="17.850000000000001" customHeight="1">
      <c r="A19" s="6" t="s">
        <v>16</v>
      </c>
      <c r="B19" s="33">
        <f t="shared" si="1"/>
        <v>0</v>
      </c>
      <c r="C19" s="17"/>
      <c r="D19" s="39"/>
      <c r="E19" s="34">
        <f t="shared" si="6"/>
        <v>0</v>
      </c>
      <c r="F19" s="2" t="str">
        <f t="shared" si="3"/>
        <v/>
      </c>
      <c r="G19" s="43"/>
      <c r="H19" s="25"/>
      <c r="I19" s="35">
        <f t="shared" si="5"/>
        <v>0</v>
      </c>
      <c r="J19" s="36" t="e">
        <f t="shared" si="4"/>
        <v>#DIV/0!</v>
      </c>
      <c r="K19" s="17"/>
      <c r="L19" s="17"/>
      <c r="M19" s="17"/>
      <c r="N19" s="17"/>
      <c r="O19" s="17"/>
      <c r="P19" s="17"/>
    </row>
    <row r="20" spans="1:16" ht="17.850000000000001" customHeight="1">
      <c r="A20" s="6" t="s">
        <v>197</v>
      </c>
      <c r="B20" s="33">
        <f t="shared" si="1"/>
        <v>3000</v>
      </c>
      <c r="C20" s="7" t="s">
        <v>108</v>
      </c>
      <c r="D20" s="39"/>
      <c r="E20" s="34">
        <f t="shared" si="6"/>
        <v>0</v>
      </c>
      <c r="F20" s="2" t="str">
        <f t="shared" si="3"/>
        <v/>
      </c>
      <c r="G20" s="43"/>
      <c r="H20" s="25">
        <v>2100</v>
      </c>
      <c r="I20" s="35">
        <f t="shared" si="5"/>
        <v>0</v>
      </c>
      <c r="J20" s="36" t="e">
        <f t="shared" si="4"/>
        <v>#DIV/0!</v>
      </c>
      <c r="K20" s="17"/>
      <c r="L20" s="17"/>
      <c r="M20" s="17"/>
      <c r="N20" s="17"/>
      <c r="O20" s="17"/>
      <c r="P20" s="17"/>
    </row>
    <row r="21" spans="1:16" ht="17.850000000000001" customHeight="1">
      <c r="A21" s="6" t="s">
        <v>198</v>
      </c>
      <c r="B21" s="33">
        <f t="shared" si="1"/>
        <v>4000</v>
      </c>
      <c r="C21" s="7" t="s">
        <v>11</v>
      </c>
      <c r="D21" s="39"/>
      <c r="E21" s="34">
        <f t="shared" si="6"/>
        <v>0</v>
      </c>
      <c r="F21" s="2" t="str">
        <f t="shared" si="3"/>
        <v/>
      </c>
      <c r="G21" s="43"/>
      <c r="H21" s="25">
        <v>2800</v>
      </c>
      <c r="I21" s="35">
        <f t="shared" si="5"/>
        <v>0</v>
      </c>
      <c r="J21" s="36" t="e">
        <f t="shared" si="4"/>
        <v>#DIV/0!</v>
      </c>
      <c r="K21" s="17"/>
      <c r="L21" s="17"/>
      <c r="M21" s="17"/>
      <c r="N21" s="17"/>
      <c r="O21" s="17"/>
      <c r="P21" s="17"/>
    </row>
    <row r="22" spans="1:16" ht="17.850000000000001" customHeight="1">
      <c r="A22" s="6" t="s">
        <v>199</v>
      </c>
      <c r="B22" s="33">
        <f t="shared" si="1"/>
        <v>9000</v>
      </c>
      <c r="C22" s="7" t="s">
        <v>11</v>
      </c>
      <c r="D22" s="39"/>
      <c r="E22" s="34">
        <f t="shared" si="6"/>
        <v>0</v>
      </c>
      <c r="F22" s="2" t="str">
        <f t="shared" si="3"/>
        <v/>
      </c>
      <c r="G22" s="40"/>
      <c r="H22" s="25">
        <v>6300</v>
      </c>
      <c r="I22" s="35">
        <f t="shared" si="5"/>
        <v>0</v>
      </c>
      <c r="J22" s="36" t="e">
        <f t="shared" si="4"/>
        <v>#DIV/0!</v>
      </c>
      <c r="K22" s="17"/>
      <c r="M22" s="17"/>
      <c r="N22" s="17"/>
      <c r="O22" s="17"/>
    </row>
    <row r="23" spans="1:16" ht="17.850000000000001" customHeight="1">
      <c r="A23" s="6" t="s">
        <v>169</v>
      </c>
      <c r="B23" s="33">
        <f t="shared" si="1"/>
        <v>5000</v>
      </c>
      <c r="C23" s="7" t="s">
        <v>8</v>
      </c>
      <c r="D23" s="39"/>
      <c r="E23" s="34">
        <f t="shared" si="6"/>
        <v>0</v>
      </c>
      <c r="F23" s="2" t="str">
        <f t="shared" si="3"/>
        <v/>
      </c>
      <c r="G23" s="43"/>
      <c r="H23" s="25">
        <v>3500</v>
      </c>
      <c r="I23" s="35">
        <f t="shared" si="5"/>
        <v>0</v>
      </c>
      <c r="J23" s="36" t="e">
        <f t="shared" si="4"/>
        <v>#DIV/0!</v>
      </c>
      <c r="K23" s="17"/>
      <c r="M23" s="17"/>
      <c r="N23" s="17"/>
      <c r="O23" s="17"/>
    </row>
    <row r="24" spans="1:16" ht="17.850000000000001" customHeight="1">
      <c r="A24" s="6" t="s">
        <v>196</v>
      </c>
      <c r="B24" s="33">
        <f t="shared" si="1"/>
        <v>30000</v>
      </c>
      <c r="C24" s="7" t="s">
        <v>227</v>
      </c>
      <c r="D24" s="39"/>
      <c r="E24" s="34">
        <f t="shared" si="6"/>
        <v>0</v>
      </c>
      <c r="F24" s="2" t="str">
        <f t="shared" si="3"/>
        <v/>
      </c>
      <c r="G24" s="43"/>
      <c r="H24" s="25">
        <v>21000</v>
      </c>
      <c r="I24" s="35">
        <f t="shared" si="5"/>
        <v>0</v>
      </c>
      <c r="J24" s="36" t="e">
        <f t="shared" si="4"/>
        <v>#DIV/0!</v>
      </c>
      <c r="K24" s="17"/>
      <c r="M24" s="17"/>
      <c r="N24" s="17"/>
      <c r="O24" s="17"/>
    </row>
    <row r="25" spans="1:16" ht="17.850000000000001" customHeight="1">
      <c r="A25" s="6" t="s">
        <v>228</v>
      </c>
      <c r="B25" s="33">
        <f t="shared" si="1"/>
        <v>40000</v>
      </c>
      <c r="C25" s="7" t="s">
        <v>227</v>
      </c>
      <c r="D25" s="39"/>
      <c r="E25" s="34">
        <f t="shared" si="6"/>
        <v>0</v>
      </c>
      <c r="F25" s="2" t="str">
        <f t="shared" si="3"/>
        <v/>
      </c>
      <c r="G25" s="43"/>
      <c r="H25" s="25">
        <v>28000</v>
      </c>
      <c r="I25" s="35">
        <f t="shared" si="5"/>
        <v>0</v>
      </c>
      <c r="J25" s="36" t="e">
        <f t="shared" si="4"/>
        <v>#DIV/0!</v>
      </c>
      <c r="K25" s="17"/>
      <c r="M25" s="17"/>
      <c r="N25" s="17"/>
      <c r="O25" s="17"/>
    </row>
    <row r="26" spans="1:16" ht="17.850000000000001" customHeight="1">
      <c r="A26" s="6" t="s">
        <v>213</v>
      </c>
      <c r="B26" s="33">
        <f t="shared" si="1"/>
        <v>26000</v>
      </c>
      <c r="C26" s="7" t="s">
        <v>215</v>
      </c>
      <c r="D26" s="39">
        <v>1</v>
      </c>
      <c r="E26" s="34">
        <f t="shared" si="6"/>
        <v>26000</v>
      </c>
      <c r="F26" s="2">
        <f t="shared" si="3"/>
        <v>26</v>
      </c>
      <c r="G26" s="43"/>
      <c r="H26" s="25">
        <v>18200</v>
      </c>
      <c r="I26" s="35">
        <f t="shared" si="5"/>
        <v>18200</v>
      </c>
      <c r="J26" s="36">
        <f t="shared" si="4"/>
        <v>0.30000000000000004</v>
      </c>
      <c r="K26" s="17"/>
      <c r="M26" s="17"/>
      <c r="N26" s="17"/>
      <c r="O26" s="17"/>
    </row>
    <row r="27" spans="1:16" ht="17.850000000000001" customHeight="1">
      <c r="A27" s="6" t="s">
        <v>214</v>
      </c>
      <c r="B27" s="33">
        <f t="shared" si="1"/>
        <v>39000</v>
      </c>
      <c r="C27" s="7" t="s">
        <v>215</v>
      </c>
      <c r="D27" s="39">
        <v>1</v>
      </c>
      <c r="E27" s="34">
        <f t="shared" si="6"/>
        <v>39000</v>
      </c>
      <c r="F27" s="2">
        <f t="shared" si="3"/>
        <v>27</v>
      </c>
      <c r="G27" s="43"/>
      <c r="H27" s="25">
        <v>27300</v>
      </c>
      <c r="I27" s="35">
        <f t="shared" si="5"/>
        <v>27300</v>
      </c>
      <c r="J27" s="36">
        <f t="shared" si="4"/>
        <v>0.30000000000000004</v>
      </c>
      <c r="K27" s="17"/>
      <c r="M27" s="49"/>
      <c r="N27" s="17"/>
      <c r="O27" s="17"/>
    </row>
    <row r="28" spans="1:16" ht="17.850000000000001" customHeight="1">
      <c r="A28" s="6" t="s">
        <v>229</v>
      </c>
      <c r="B28" s="33">
        <f t="shared" si="1"/>
        <v>14800</v>
      </c>
      <c r="C28" s="7" t="s">
        <v>8</v>
      </c>
      <c r="D28" s="39">
        <v>1</v>
      </c>
      <c r="E28" s="34">
        <f t="shared" si="6"/>
        <v>14800</v>
      </c>
      <c r="F28" s="2">
        <f t="shared" si="3"/>
        <v>28</v>
      </c>
      <c r="G28" s="43"/>
      <c r="H28" s="25">
        <v>10360</v>
      </c>
      <c r="I28" s="35">
        <f t="shared" si="5"/>
        <v>10360</v>
      </c>
      <c r="J28" s="36">
        <f t="shared" si="4"/>
        <v>0.30000000000000004</v>
      </c>
      <c r="K28" s="17"/>
      <c r="M28" s="49"/>
      <c r="N28" s="17"/>
      <c r="O28" s="17"/>
    </row>
    <row r="29" spans="1:16" ht="17.850000000000001" customHeight="1">
      <c r="A29" s="6" t="s">
        <v>201</v>
      </c>
      <c r="B29" s="33">
        <f t="shared" si="1"/>
        <v>0</v>
      </c>
      <c r="C29" s="7" t="s">
        <v>8</v>
      </c>
      <c r="D29" s="39"/>
      <c r="E29" s="34">
        <f t="shared" si="6"/>
        <v>0</v>
      </c>
      <c r="F29" s="2" t="str">
        <f t="shared" si="3"/>
        <v/>
      </c>
      <c r="G29" s="43"/>
      <c r="H29" s="25"/>
      <c r="I29" s="35">
        <f t="shared" si="5"/>
        <v>0</v>
      </c>
      <c r="J29" s="36" t="e">
        <f t="shared" si="4"/>
        <v>#DIV/0!</v>
      </c>
      <c r="K29" s="17"/>
      <c r="M29" s="49"/>
      <c r="N29" s="17"/>
      <c r="O29" s="17"/>
    </row>
    <row r="30" spans="1:16" ht="17.850000000000001" customHeight="1">
      <c r="A30" s="6" t="s">
        <v>16</v>
      </c>
      <c r="B30" s="33">
        <f t="shared" si="1"/>
        <v>0</v>
      </c>
      <c r="C30" s="7" t="s">
        <v>8</v>
      </c>
      <c r="D30" s="39"/>
      <c r="E30" s="34">
        <f t="shared" si="6"/>
        <v>0</v>
      </c>
      <c r="F30" s="2" t="str">
        <f t="shared" si="3"/>
        <v/>
      </c>
      <c r="G30" s="43"/>
      <c r="H30" s="25"/>
      <c r="I30" s="35">
        <f t="shared" si="5"/>
        <v>0</v>
      </c>
      <c r="J30" s="36" t="e">
        <f t="shared" si="4"/>
        <v>#DIV/0!</v>
      </c>
      <c r="K30" s="17"/>
      <c r="M30" s="17"/>
      <c r="N30" s="17"/>
      <c r="O30" s="17"/>
    </row>
    <row r="31" spans="1:16" ht="17.850000000000001" customHeight="1">
      <c r="A31" s="6" t="s">
        <v>16</v>
      </c>
      <c r="B31" s="33">
        <f t="shared" si="1"/>
        <v>0</v>
      </c>
      <c r="C31" s="7" t="s">
        <v>8</v>
      </c>
      <c r="D31" s="39"/>
      <c r="E31" s="34">
        <f t="shared" si="6"/>
        <v>0</v>
      </c>
      <c r="F31" s="2" t="str">
        <f t="shared" si="3"/>
        <v/>
      </c>
      <c r="G31" s="43"/>
      <c r="H31" s="25"/>
      <c r="I31" s="35">
        <f t="shared" si="5"/>
        <v>0</v>
      </c>
      <c r="J31" s="36" t="e">
        <f t="shared" si="4"/>
        <v>#DIV/0!</v>
      </c>
      <c r="K31" s="17"/>
      <c r="M31" s="17"/>
      <c r="N31" s="17"/>
      <c r="O31" s="17"/>
    </row>
    <row r="32" spans="1:16" ht="17.850000000000001" customHeight="1">
      <c r="A32" s="6" t="s">
        <v>16</v>
      </c>
      <c r="B32" s="33">
        <f t="shared" si="1"/>
        <v>0</v>
      </c>
      <c r="C32" s="7" t="s">
        <v>8</v>
      </c>
      <c r="D32" s="39"/>
      <c r="E32" s="34">
        <f t="shared" si="6"/>
        <v>0</v>
      </c>
      <c r="F32" s="2" t="str">
        <f t="shared" si="3"/>
        <v/>
      </c>
      <c r="G32" s="43"/>
      <c r="H32" s="25"/>
      <c r="I32" s="35">
        <f t="shared" si="5"/>
        <v>0</v>
      </c>
      <c r="J32" s="36" t="e">
        <f t="shared" si="4"/>
        <v>#DIV/0!</v>
      </c>
      <c r="K32" s="17"/>
      <c r="M32" s="17"/>
      <c r="N32" s="17"/>
      <c r="O32" s="17"/>
    </row>
    <row r="33" spans="1:15" ht="17.850000000000001" customHeight="1">
      <c r="A33" s="6" t="s">
        <v>202</v>
      </c>
      <c r="B33" s="33">
        <f t="shared" si="1"/>
        <v>0</v>
      </c>
      <c r="C33" s="7" t="s">
        <v>8</v>
      </c>
      <c r="D33" s="39"/>
      <c r="E33" s="34">
        <f t="shared" si="6"/>
        <v>0</v>
      </c>
      <c r="F33" s="2" t="str">
        <f t="shared" si="3"/>
        <v/>
      </c>
      <c r="G33" s="43"/>
      <c r="H33" s="25"/>
      <c r="I33" s="35">
        <f t="shared" si="5"/>
        <v>0</v>
      </c>
      <c r="J33" s="36" t="e">
        <f t="shared" si="4"/>
        <v>#DIV/0!</v>
      </c>
      <c r="K33" s="17"/>
      <c r="M33" s="17"/>
      <c r="N33" s="17"/>
      <c r="O33" s="17"/>
    </row>
    <row r="34" spans="1:15" ht="17.850000000000001" customHeight="1">
      <c r="A34" s="6" t="s">
        <v>203</v>
      </c>
      <c r="B34" s="33">
        <f t="shared" si="1"/>
        <v>96430</v>
      </c>
      <c r="C34" s="7" t="s">
        <v>8</v>
      </c>
      <c r="D34" s="39"/>
      <c r="E34" s="34">
        <f t="shared" si="6"/>
        <v>0</v>
      </c>
      <c r="F34" s="2" t="str">
        <f t="shared" si="3"/>
        <v/>
      </c>
      <c r="G34" s="43"/>
      <c r="H34" s="25">
        <v>67500</v>
      </c>
      <c r="I34" s="35">
        <f t="shared" si="5"/>
        <v>0</v>
      </c>
      <c r="J34" s="36" t="e">
        <f t="shared" si="4"/>
        <v>#DIV/0!</v>
      </c>
      <c r="K34" s="17"/>
      <c r="M34" s="17"/>
      <c r="N34" s="17"/>
      <c r="O34" s="17"/>
    </row>
    <row r="35" spans="1:15" ht="17.850000000000001" customHeight="1">
      <c r="A35" s="6" t="s">
        <v>16</v>
      </c>
      <c r="B35" s="33">
        <f t="shared" si="1"/>
        <v>0</v>
      </c>
      <c r="C35" s="7" t="s">
        <v>8</v>
      </c>
      <c r="D35" s="39"/>
      <c r="E35" s="34">
        <f t="shared" si="6"/>
        <v>0</v>
      </c>
      <c r="F35" s="2" t="str">
        <f t="shared" si="3"/>
        <v/>
      </c>
      <c r="G35" s="43"/>
      <c r="H35" s="25"/>
      <c r="I35" s="35">
        <f t="shared" si="5"/>
        <v>0</v>
      </c>
      <c r="J35" s="36" t="e">
        <f t="shared" si="4"/>
        <v>#DIV/0!</v>
      </c>
      <c r="K35" s="17"/>
      <c r="M35" s="17"/>
      <c r="N35" s="17"/>
      <c r="O35" s="17"/>
    </row>
    <row r="36" spans="1:15" ht="17.850000000000001" customHeight="1">
      <c r="A36" s="6" t="s">
        <v>16</v>
      </c>
      <c r="B36" s="33">
        <f t="shared" si="1"/>
        <v>0</v>
      </c>
      <c r="C36" s="7" t="s">
        <v>8</v>
      </c>
      <c r="D36" s="39"/>
      <c r="E36" s="34">
        <f t="shared" si="6"/>
        <v>0</v>
      </c>
      <c r="F36" s="2" t="str">
        <f t="shared" si="3"/>
        <v/>
      </c>
      <c r="G36" s="43"/>
      <c r="H36" s="25"/>
      <c r="I36" s="35">
        <f t="shared" si="5"/>
        <v>0</v>
      </c>
      <c r="J36" s="36" t="e">
        <f t="shared" si="4"/>
        <v>#DIV/0!</v>
      </c>
      <c r="K36" s="17"/>
      <c r="M36" s="17"/>
      <c r="N36" s="17"/>
      <c r="O36" s="17"/>
    </row>
    <row r="37" spans="1:15" ht="17.850000000000001" customHeight="1">
      <c r="A37" s="6" t="s">
        <v>16</v>
      </c>
      <c r="B37" s="33">
        <f t="shared" si="1"/>
        <v>0</v>
      </c>
      <c r="C37" s="7" t="s">
        <v>8</v>
      </c>
      <c r="D37" s="39"/>
      <c r="E37" s="34">
        <f t="shared" si="6"/>
        <v>0</v>
      </c>
      <c r="F37" s="2" t="str">
        <f t="shared" si="3"/>
        <v/>
      </c>
      <c r="G37" s="43"/>
      <c r="H37" s="25"/>
      <c r="I37" s="35">
        <f t="shared" si="5"/>
        <v>0</v>
      </c>
      <c r="J37" s="36" t="e">
        <f t="shared" si="4"/>
        <v>#DIV/0!</v>
      </c>
      <c r="K37" s="17"/>
      <c r="M37" s="17"/>
      <c r="N37" s="17"/>
      <c r="O37" s="17"/>
    </row>
    <row r="38" spans="1:15" ht="17.850000000000001" customHeight="1">
      <c r="A38" s="6" t="s">
        <v>200</v>
      </c>
      <c r="B38" s="33">
        <f t="shared" si="1"/>
        <v>60000</v>
      </c>
      <c r="C38" s="7" t="s">
        <v>8</v>
      </c>
      <c r="D38" s="39"/>
      <c r="E38" s="34">
        <f t="shared" si="6"/>
        <v>0</v>
      </c>
      <c r="F38" s="2" t="str">
        <f t="shared" si="3"/>
        <v/>
      </c>
      <c r="G38" s="43"/>
      <c r="H38" s="25">
        <v>42000</v>
      </c>
      <c r="I38" s="35">
        <f t="shared" si="5"/>
        <v>0</v>
      </c>
      <c r="J38" s="36" t="e">
        <f t="shared" si="4"/>
        <v>#DIV/0!</v>
      </c>
      <c r="K38" s="17"/>
      <c r="M38" s="17"/>
      <c r="N38" s="17"/>
      <c r="O38" s="17"/>
    </row>
    <row r="39" spans="1:15" ht="17.850000000000001" customHeight="1">
      <c r="A39" s="6" t="s">
        <v>121</v>
      </c>
      <c r="B39" s="33">
        <f t="shared" si="1"/>
        <v>95000</v>
      </c>
      <c r="C39" s="7" t="s">
        <v>8</v>
      </c>
      <c r="D39" s="39"/>
      <c r="E39" s="34">
        <f t="shared" si="6"/>
        <v>0</v>
      </c>
      <c r="F39" s="2" t="str">
        <f t="shared" si="3"/>
        <v/>
      </c>
      <c r="G39" s="43"/>
      <c r="H39" s="25">
        <v>66500</v>
      </c>
      <c r="I39" s="35">
        <f t="shared" si="5"/>
        <v>0</v>
      </c>
      <c r="J39" s="36" t="e">
        <f t="shared" si="4"/>
        <v>#DIV/0!</v>
      </c>
      <c r="K39" s="17"/>
      <c r="M39" s="17"/>
      <c r="N39" s="17"/>
      <c r="O39" s="17"/>
    </row>
    <row r="40" spans="1:15" ht="17.850000000000001" customHeight="1">
      <c r="A40" s="6" t="s">
        <v>16</v>
      </c>
      <c r="B40" s="33">
        <f t="shared" si="1"/>
        <v>0</v>
      </c>
      <c r="C40" s="7" t="s">
        <v>111</v>
      </c>
      <c r="D40" s="39"/>
      <c r="E40" s="34">
        <f t="shared" si="6"/>
        <v>0</v>
      </c>
      <c r="F40" s="2" t="str">
        <f t="shared" si="3"/>
        <v/>
      </c>
      <c r="G40" s="43"/>
      <c r="H40" s="25"/>
      <c r="I40" s="35">
        <f t="shared" si="5"/>
        <v>0</v>
      </c>
      <c r="J40" s="36" t="e">
        <f t="shared" si="4"/>
        <v>#DIV/0!</v>
      </c>
      <c r="K40" s="17"/>
      <c r="M40" s="17"/>
      <c r="N40" s="17"/>
      <c r="O40" s="17"/>
    </row>
    <row r="41" spans="1:15" ht="17.850000000000001" customHeight="1">
      <c r="A41" s="6" t="s">
        <v>16</v>
      </c>
      <c r="B41" s="33">
        <f t="shared" si="1"/>
        <v>0</v>
      </c>
      <c r="C41" s="7" t="s">
        <v>8</v>
      </c>
      <c r="D41" s="39"/>
      <c r="E41" s="34">
        <f t="shared" si="6"/>
        <v>0</v>
      </c>
      <c r="F41" s="2" t="str">
        <f t="shared" si="3"/>
        <v/>
      </c>
      <c r="G41" s="43"/>
      <c r="H41" s="25"/>
      <c r="I41" s="35">
        <f t="shared" si="5"/>
        <v>0</v>
      </c>
      <c r="J41" s="36" t="e">
        <f t="shared" si="4"/>
        <v>#DIV/0!</v>
      </c>
      <c r="K41" s="17"/>
      <c r="M41" s="17"/>
      <c r="N41" s="17"/>
      <c r="O41" s="17"/>
    </row>
    <row r="42" spans="1:15" ht="17.850000000000001" customHeight="1">
      <c r="A42" s="6"/>
      <c r="B42" s="33">
        <f t="shared" si="1"/>
        <v>0</v>
      </c>
      <c r="C42" s="7" t="s">
        <v>11</v>
      </c>
      <c r="D42" s="39"/>
      <c r="E42" s="34">
        <f t="shared" si="6"/>
        <v>0</v>
      </c>
      <c r="F42" s="2" t="str">
        <f t="shared" si="3"/>
        <v/>
      </c>
      <c r="G42" s="42"/>
      <c r="H42" s="25"/>
      <c r="I42" s="35">
        <f t="shared" si="5"/>
        <v>0</v>
      </c>
      <c r="J42" s="36" t="e">
        <f t="shared" si="4"/>
        <v>#DIV/0!</v>
      </c>
      <c r="K42" s="17" t="s">
        <v>109</v>
      </c>
      <c r="M42" s="17"/>
      <c r="N42" s="17"/>
      <c r="O42" s="17"/>
    </row>
    <row r="43" spans="1:15" ht="17.850000000000001" customHeight="1">
      <c r="A43" s="6"/>
      <c r="B43" s="33">
        <f t="shared" si="1"/>
        <v>0</v>
      </c>
      <c r="C43" s="7" t="s">
        <v>11</v>
      </c>
      <c r="D43" s="39"/>
      <c r="E43" s="34">
        <f t="shared" si="6"/>
        <v>0</v>
      </c>
      <c r="F43" s="2" t="str">
        <f t="shared" si="3"/>
        <v/>
      </c>
      <c r="G43" s="42"/>
      <c r="H43" s="25"/>
      <c r="I43" s="35">
        <f t="shared" si="5"/>
        <v>0</v>
      </c>
      <c r="J43" s="36" t="e">
        <f t="shared" si="4"/>
        <v>#DIV/0!</v>
      </c>
      <c r="K43" s="17" t="s">
        <v>107</v>
      </c>
      <c r="M43" s="17"/>
      <c r="N43" s="17"/>
      <c r="O43" s="17"/>
    </row>
    <row r="44" spans="1:15" ht="17.850000000000001" customHeight="1">
      <c r="A44" s="6"/>
      <c r="B44" s="33">
        <f t="shared" si="1"/>
        <v>0</v>
      </c>
      <c r="C44" s="7" t="s">
        <v>8</v>
      </c>
      <c r="D44" s="39"/>
      <c r="E44" s="34">
        <f t="shared" si="6"/>
        <v>0</v>
      </c>
      <c r="F44" s="2" t="str">
        <f t="shared" si="3"/>
        <v/>
      </c>
      <c r="G44" s="43"/>
      <c r="H44" s="25"/>
      <c r="I44" s="35">
        <f t="shared" si="5"/>
        <v>0</v>
      </c>
      <c r="J44" s="36" t="e">
        <f t="shared" si="4"/>
        <v>#DIV/0!</v>
      </c>
      <c r="K44" s="17" t="s">
        <v>99</v>
      </c>
      <c r="M44" s="17"/>
      <c r="N44" s="17"/>
      <c r="O44" s="17"/>
    </row>
    <row r="45" spans="1:15" ht="17.850000000000001" customHeight="1">
      <c r="A45" s="6"/>
      <c r="B45" s="33">
        <f t="shared" si="1"/>
        <v>0</v>
      </c>
      <c r="C45" s="7" t="s">
        <v>8</v>
      </c>
      <c r="D45" s="39"/>
      <c r="E45" s="34">
        <f t="shared" si="6"/>
        <v>0</v>
      </c>
      <c r="F45" s="2" t="str">
        <f t="shared" si="3"/>
        <v/>
      </c>
      <c r="G45" s="43"/>
      <c r="H45" s="25"/>
      <c r="I45" s="35">
        <f t="shared" si="5"/>
        <v>0</v>
      </c>
      <c r="J45" s="36" t="e">
        <f t="shared" si="4"/>
        <v>#DIV/0!</v>
      </c>
      <c r="K45" s="17" t="s">
        <v>15</v>
      </c>
      <c r="M45" s="17"/>
      <c r="N45" s="17"/>
      <c r="O45" s="17"/>
    </row>
    <row r="46" spans="1:15" ht="17.850000000000001" customHeight="1">
      <c r="A46" s="6"/>
      <c r="B46" s="33">
        <f t="shared" si="1"/>
        <v>0</v>
      </c>
      <c r="C46" s="7" t="s">
        <v>8</v>
      </c>
      <c r="D46" s="39"/>
      <c r="E46" s="34">
        <f t="shared" si="6"/>
        <v>0</v>
      </c>
      <c r="F46" s="2" t="str">
        <f t="shared" si="3"/>
        <v/>
      </c>
      <c r="G46" s="43"/>
      <c r="H46" s="25"/>
      <c r="I46" s="35">
        <f t="shared" si="5"/>
        <v>0</v>
      </c>
      <c r="J46" s="36" t="e">
        <f t="shared" si="4"/>
        <v>#DIV/0!</v>
      </c>
      <c r="K46" s="17" t="s">
        <v>15</v>
      </c>
      <c r="M46" s="17" t="s">
        <v>115</v>
      </c>
      <c r="N46" s="17"/>
      <c r="O46" s="17"/>
    </row>
    <row r="47" spans="1:15" ht="17.850000000000001" customHeight="1">
      <c r="A47" s="6" t="s">
        <v>12</v>
      </c>
      <c r="B47" s="33">
        <f t="shared" si="1"/>
        <v>76430</v>
      </c>
      <c r="C47" s="7" t="s">
        <v>8</v>
      </c>
      <c r="D47" s="39"/>
      <c r="E47" s="34">
        <f t="shared" si="6"/>
        <v>0</v>
      </c>
      <c r="F47" s="2" t="str">
        <f t="shared" si="3"/>
        <v/>
      </c>
      <c r="G47" s="43"/>
      <c r="H47" s="25">
        <v>53500</v>
      </c>
      <c r="I47" s="35">
        <f t="shared" si="5"/>
        <v>0</v>
      </c>
      <c r="J47" s="36" t="e">
        <f t="shared" si="4"/>
        <v>#DIV/0!</v>
      </c>
      <c r="K47" s="17" t="s">
        <v>15</v>
      </c>
      <c r="M47" s="17" t="s">
        <v>114</v>
      </c>
      <c r="N47" s="17"/>
      <c r="O47" s="17"/>
    </row>
    <row r="48" spans="1:15" ht="17.850000000000001" customHeight="1">
      <c r="A48" s="6"/>
      <c r="B48" s="33">
        <f t="shared" si="1"/>
        <v>0</v>
      </c>
      <c r="C48" s="7" t="s">
        <v>8</v>
      </c>
      <c r="D48" s="39"/>
      <c r="E48" s="34">
        <f t="shared" si="6"/>
        <v>0</v>
      </c>
      <c r="F48" s="2" t="str">
        <f t="shared" si="3"/>
        <v/>
      </c>
      <c r="G48" s="43"/>
      <c r="H48" s="25"/>
      <c r="I48" s="35">
        <f t="shared" si="5"/>
        <v>0</v>
      </c>
      <c r="J48" s="36" t="e">
        <f t="shared" si="4"/>
        <v>#DIV/0!</v>
      </c>
      <c r="K48" s="17" t="s">
        <v>96</v>
      </c>
      <c r="M48" s="17" t="s">
        <v>113</v>
      </c>
      <c r="N48" s="17"/>
      <c r="O48" s="17"/>
    </row>
    <row r="49" spans="1:15" ht="17.850000000000001" customHeight="1">
      <c r="A49" s="6" t="s">
        <v>103</v>
      </c>
      <c r="B49" s="33">
        <f t="shared" si="1"/>
        <v>111430</v>
      </c>
      <c r="C49" s="7" t="s">
        <v>108</v>
      </c>
      <c r="D49" s="39"/>
      <c r="E49" s="34">
        <f t="shared" si="6"/>
        <v>0</v>
      </c>
      <c r="F49" s="2" t="str">
        <f t="shared" si="3"/>
        <v/>
      </c>
      <c r="G49" s="43"/>
      <c r="H49" s="25">
        <v>78000</v>
      </c>
      <c r="I49" s="35">
        <f t="shared" ref="I49:I51" si="9">H49*D49</f>
        <v>0</v>
      </c>
      <c r="J49" s="36" t="e">
        <f t="shared" ref="J49:J51" si="10">1-I49/E49</f>
        <v>#DIV/0!</v>
      </c>
      <c r="K49" s="17"/>
      <c r="L49" s="17"/>
      <c r="M49" s="17"/>
      <c r="N49" s="17"/>
      <c r="O49" s="17"/>
    </row>
    <row r="50" spans="1:15" ht="17.850000000000001" customHeight="1">
      <c r="A50" s="6" t="s">
        <v>100</v>
      </c>
      <c r="B50" s="33">
        <f t="shared" si="1"/>
        <v>37150</v>
      </c>
      <c r="C50" s="7" t="s">
        <v>108</v>
      </c>
      <c r="D50" s="39"/>
      <c r="E50" s="34">
        <f t="shared" si="6"/>
        <v>0</v>
      </c>
      <c r="F50" s="2" t="str">
        <f t="shared" si="3"/>
        <v/>
      </c>
      <c r="G50" s="43"/>
      <c r="H50" s="25">
        <v>26000</v>
      </c>
      <c r="I50" s="35">
        <f t="shared" si="9"/>
        <v>0</v>
      </c>
      <c r="J50" s="36" t="e">
        <f t="shared" si="10"/>
        <v>#DIV/0!</v>
      </c>
      <c r="K50" s="17"/>
      <c r="L50" s="17"/>
      <c r="M50" s="17"/>
      <c r="N50" s="17"/>
      <c r="O50" s="17"/>
    </row>
    <row r="51" spans="1:15" ht="17.850000000000001" customHeight="1">
      <c r="A51" s="6" t="s">
        <v>102</v>
      </c>
      <c r="B51" s="33">
        <f t="shared" si="1"/>
        <v>111430</v>
      </c>
      <c r="C51" s="7" t="s">
        <v>108</v>
      </c>
      <c r="D51" s="39"/>
      <c r="E51" s="34">
        <f t="shared" si="6"/>
        <v>0</v>
      </c>
      <c r="F51" s="2" t="str">
        <f t="shared" si="3"/>
        <v/>
      </c>
      <c r="G51" s="43"/>
      <c r="H51" s="25">
        <v>78000</v>
      </c>
      <c r="I51" s="35">
        <f t="shared" si="9"/>
        <v>0</v>
      </c>
      <c r="J51" s="36" t="e">
        <f t="shared" si="10"/>
        <v>#DIV/0!</v>
      </c>
      <c r="K51" s="17"/>
      <c r="M51" s="17"/>
      <c r="N51" s="17"/>
      <c r="O51" s="17"/>
    </row>
    <row r="52" spans="1:15" ht="17.850000000000001" customHeight="1">
      <c r="A52" s="6"/>
      <c r="B52" s="33">
        <f t="shared" si="1"/>
        <v>0</v>
      </c>
      <c r="C52" s="7" t="s">
        <v>8</v>
      </c>
      <c r="D52" s="39"/>
      <c r="E52" s="34">
        <f t="shared" si="6"/>
        <v>0</v>
      </c>
      <c r="F52" s="2" t="str">
        <f t="shared" si="3"/>
        <v/>
      </c>
      <c r="G52" s="43"/>
      <c r="H52" s="25"/>
      <c r="I52" s="35">
        <f t="shared" si="5"/>
        <v>0</v>
      </c>
      <c r="J52" s="36" t="e">
        <f t="shared" si="4"/>
        <v>#DIV/0!</v>
      </c>
      <c r="K52" s="17" t="s">
        <v>15</v>
      </c>
      <c r="M52" s="17"/>
      <c r="N52" s="17"/>
      <c r="O52" s="17"/>
    </row>
    <row r="53" spans="1:15" ht="17.850000000000001" customHeight="1">
      <c r="A53" s="6"/>
      <c r="B53" s="33">
        <f t="shared" si="1"/>
        <v>0</v>
      </c>
      <c r="C53" s="7" t="s">
        <v>8</v>
      </c>
      <c r="D53" s="39"/>
      <c r="E53" s="34">
        <f t="shared" si="6"/>
        <v>0</v>
      </c>
      <c r="F53" s="2" t="str">
        <f t="shared" si="3"/>
        <v/>
      </c>
      <c r="G53" s="43"/>
      <c r="H53" s="25"/>
      <c r="I53" s="35">
        <f t="shared" si="5"/>
        <v>0</v>
      </c>
      <c r="J53" s="36" t="e">
        <f t="shared" si="4"/>
        <v>#DIV/0!</v>
      </c>
      <c r="K53" s="48" t="s">
        <v>15</v>
      </c>
      <c r="M53" s="17" t="s">
        <v>94</v>
      </c>
      <c r="N53" s="17"/>
      <c r="O53" s="17"/>
    </row>
    <row r="54" spans="1:15" ht="17.850000000000001" customHeight="1">
      <c r="A54" s="6" t="s">
        <v>101</v>
      </c>
      <c r="B54" s="33">
        <f t="shared" si="1"/>
        <v>232150</v>
      </c>
      <c r="C54" s="7" t="s">
        <v>8</v>
      </c>
      <c r="D54" s="39"/>
      <c r="E54" s="34">
        <f t="shared" si="6"/>
        <v>0</v>
      </c>
      <c r="F54" s="2" t="str">
        <f t="shared" si="3"/>
        <v/>
      </c>
      <c r="G54" s="43"/>
      <c r="H54" s="25">
        <v>162500</v>
      </c>
      <c r="I54" s="35">
        <f t="shared" si="5"/>
        <v>0</v>
      </c>
      <c r="J54" s="36" t="e">
        <f t="shared" si="4"/>
        <v>#DIV/0!</v>
      </c>
      <c r="K54" s="48"/>
      <c r="M54" s="17"/>
      <c r="N54" s="17"/>
      <c r="O54" s="17"/>
    </row>
    <row r="55" spans="1:15" ht="17.850000000000001" customHeight="1">
      <c r="A55" s="6"/>
      <c r="B55" s="33">
        <f t="shared" si="1"/>
        <v>0</v>
      </c>
      <c r="C55" s="7" t="s">
        <v>8</v>
      </c>
      <c r="D55" s="39"/>
      <c r="E55" s="34">
        <f t="shared" si="6"/>
        <v>0</v>
      </c>
      <c r="F55" s="2" t="str">
        <f t="shared" si="3"/>
        <v/>
      </c>
      <c r="G55" s="43"/>
      <c r="H55" s="25"/>
      <c r="I55" s="35">
        <f t="shared" si="5"/>
        <v>0</v>
      </c>
      <c r="J55" s="36" t="e">
        <f t="shared" si="4"/>
        <v>#DIV/0!</v>
      </c>
      <c r="K55" s="17"/>
      <c r="M55" s="17"/>
      <c r="N55" s="17"/>
      <c r="O55" s="17"/>
    </row>
    <row r="56" spans="1:15" ht="17.850000000000001" customHeight="1">
      <c r="A56" s="6" t="s">
        <v>193</v>
      </c>
      <c r="B56" s="33">
        <f t="shared" si="1"/>
        <v>40000</v>
      </c>
      <c r="C56" s="7" t="s">
        <v>190</v>
      </c>
      <c r="D56" s="39"/>
      <c r="E56" s="34">
        <f t="shared" si="6"/>
        <v>0</v>
      </c>
      <c r="F56" s="2" t="str">
        <f t="shared" si="3"/>
        <v/>
      </c>
      <c r="G56" s="43"/>
      <c r="H56" s="25">
        <v>28000</v>
      </c>
      <c r="I56" s="35">
        <f t="shared" si="5"/>
        <v>0</v>
      </c>
      <c r="J56" s="36" t="e">
        <f t="shared" si="4"/>
        <v>#DIV/0!</v>
      </c>
      <c r="K56" s="17" t="s">
        <v>110</v>
      </c>
      <c r="M56" s="17"/>
      <c r="N56" s="17"/>
      <c r="O56" s="17"/>
    </row>
    <row r="57" spans="1:15" ht="17.850000000000001" customHeight="1">
      <c r="A57" s="6" t="s">
        <v>194</v>
      </c>
      <c r="B57" s="33">
        <f t="shared" si="1"/>
        <v>12000</v>
      </c>
      <c r="C57" s="7" t="s">
        <v>190</v>
      </c>
      <c r="D57" s="39"/>
      <c r="E57" s="34">
        <f t="shared" si="6"/>
        <v>0</v>
      </c>
      <c r="F57" s="2" t="str">
        <f t="shared" si="3"/>
        <v/>
      </c>
      <c r="G57" s="43"/>
      <c r="H57" s="25">
        <v>8400</v>
      </c>
      <c r="I57" s="35">
        <f t="shared" si="5"/>
        <v>0</v>
      </c>
      <c r="J57" s="36" t="e">
        <f t="shared" si="4"/>
        <v>#DIV/0!</v>
      </c>
      <c r="K57" s="17" t="s">
        <v>96</v>
      </c>
      <c r="M57" s="17"/>
      <c r="N57" s="17"/>
      <c r="O57" s="17"/>
    </row>
    <row r="58" spans="1:15" ht="17.850000000000001" customHeight="1">
      <c r="A58" s="6" t="s">
        <v>192</v>
      </c>
      <c r="B58" s="33">
        <f t="shared" si="1"/>
        <v>50000</v>
      </c>
      <c r="C58" s="7" t="s">
        <v>8</v>
      </c>
      <c r="D58" s="39"/>
      <c r="E58" s="34">
        <f t="shared" si="6"/>
        <v>0</v>
      </c>
      <c r="F58" s="2" t="str">
        <f t="shared" si="3"/>
        <v/>
      </c>
      <c r="G58" s="43"/>
      <c r="H58" s="25">
        <f>28000+7000</f>
        <v>35000</v>
      </c>
      <c r="I58" s="35">
        <f t="shared" si="5"/>
        <v>0</v>
      </c>
      <c r="J58" s="36" t="e">
        <f t="shared" si="4"/>
        <v>#DIV/0!</v>
      </c>
      <c r="K58" s="17"/>
      <c r="M58" s="17"/>
      <c r="N58" s="17"/>
      <c r="O58" s="17"/>
    </row>
    <row r="59" spans="1:15" ht="17.850000000000001" customHeight="1">
      <c r="A59" s="6" t="s">
        <v>191</v>
      </c>
      <c r="B59" s="33">
        <f t="shared" si="1"/>
        <v>38000</v>
      </c>
      <c r="C59" s="7" t="s">
        <v>111</v>
      </c>
      <c r="D59" s="39"/>
      <c r="E59" s="34">
        <f t="shared" si="6"/>
        <v>0</v>
      </c>
      <c r="F59" s="2" t="str">
        <f t="shared" si="3"/>
        <v/>
      </c>
      <c r="G59" s="43"/>
      <c r="H59" s="25">
        <f>21000+5600</f>
        <v>26600</v>
      </c>
      <c r="I59" s="35">
        <f t="shared" si="5"/>
        <v>0</v>
      </c>
      <c r="J59" s="36" t="e">
        <f t="shared" si="4"/>
        <v>#DIV/0!</v>
      </c>
      <c r="K59" s="17"/>
      <c r="M59" s="17"/>
      <c r="N59" s="17"/>
      <c r="O59" s="17"/>
    </row>
    <row r="60" spans="1:15" ht="17.850000000000001" customHeight="1">
      <c r="A60" s="6" t="s">
        <v>122</v>
      </c>
      <c r="B60" s="33">
        <f t="shared" si="1"/>
        <v>120720</v>
      </c>
      <c r="C60" s="7" t="s">
        <v>108</v>
      </c>
      <c r="D60" s="39"/>
      <c r="E60" s="34">
        <f t="shared" si="6"/>
        <v>0</v>
      </c>
      <c r="F60" s="2" t="str">
        <f t="shared" si="3"/>
        <v/>
      </c>
      <c r="G60" s="43"/>
      <c r="H60" s="25">
        <v>84500</v>
      </c>
      <c r="I60" s="35">
        <f t="shared" si="5"/>
        <v>0</v>
      </c>
      <c r="J60" s="36" t="e">
        <f t="shared" si="4"/>
        <v>#DIV/0!</v>
      </c>
      <c r="K60" s="17" t="s">
        <v>123</v>
      </c>
      <c r="M60" s="17"/>
      <c r="N60" s="17"/>
      <c r="O60" s="17"/>
    </row>
    <row r="61" spans="1:15" ht="17.850000000000001" customHeight="1">
      <c r="A61" s="6" t="s">
        <v>124</v>
      </c>
      <c r="B61" s="33">
        <f t="shared" si="1"/>
        <v>78000</v>
      </c>
      <c r="C61" s="7" t="s">
        <v>8</v>
      </c>
      <c r="D61" s="39"/>
      <c r="E61" s="34">
        <f t="shared" si="6"/>
        <v>0</v>
      </c>
      <c r="F61" s="2" t="str">
        <f t="shared" si="3"/>
        <v/>
      </c>
      <c r="G61" s="43"/>
      <c r="H61" s="25">
        <v>54600</v>
      </c>
      <c r="I61" s="35">
        <f t="shared" si="5"/>
        <v>0</v>
      </c>
      <c r="J61" s="36" t="e">
        <f t="shared" si="4"/>
        <v>#DIV/0!</v>
      </c>
      <c r="K61" s="17" t="s">
        <v>125</v>
      </c>
      <c r="M61" s="17"/>
      <c r="N61" s="17"/>
      <c r="O61" s="17"/>
    </row>
    <row r="62" spans="1:15" ht="17.850000000000001" customHeight="1">
      <c r="A62" s="6"/>
      <c r="B62" s="33">
        <f t="shared" si="1"/>
        <v>0</v>
      </c>
      <c r="C62" s="7" t="s">
        <v>8</v>
      </c>
      <c r="D62" s="39"/>
      <c r="E62" s="34">
        <f t="shared" si="6"/>
        <v>0</v>
      </c>
      <c r="F62" s="2" t="str">
        <f t="shared" si="3"/>
        <v/>
      </c>
      <c r="G62" s="43"/>
      <c r="H62" s="50"/>
      <c r="I62" s="35">
        <f t="shared" si="5"/>
        <v>0</v>
      </c>
      <c r="J62" s="36" t="e">
        <f t="shared" si="4"/>
        <v>#DIV/0!</v>
      </c>
      <c r="K62" s="17"/>
      <c r="M62" s="17"/>
      <c r="N62" s="17"/>
      <c r="O62" s="17"/>
    </row>
    <row r="63" spans="1:15" ht="17.850000000000001" customHeight="1">
      <c r="A63" s="6"/>
      <c r="B63" s="33">
        <f t="shared" si="1"/>
        <v>0</v>
      </c>
      <c r="C63" s="7" t="s">
        <v>8</v>
      </c>
      <c r="D63" s="39"/>
      <c r="E63" s="34">
        <f t="shared" si="6"/>
        <v>0</v>
      </c>
      <c r="F63" s="2" t="str">
        <f t="shared" si="3"/>
        <v/>
      </c>
      <c r="G63" s="43"/>
      <c r="H63" s="50"/>
      <c r="I63" s="35">
        <f t="shared" si="5"/>
        <v>0</v>
      </c>
      <c r="J63" s="36" t="e">
        <f t="shared" si="4"/>
        <v>#DIV/0!</v>
      </c>
      <c r="K63" s="17"/>
      <c r="M63" s="17"/>
      <c r="N63" s="17"/>
      <c r="O63" s="17"/>
    </row>
    <row r="64" spans="1:15" ht="17.850000000000001" customHeight="1">
      <c r="A64" s="6"/>
      <c r="B64" s="33">
        <f t="shared" si="1"/>
        <v>0</v>
      </c>
      <c r="C64" s="7" t="s">
        <v>8</v>
      </c>
      <c r="D64" s="39"/>
      <c r="E64" s="34">
        <f t="shared" si="6"/>
        <v>0</v>
      </c>
      <c r="F64" s="2" t="str">
        <f t="shared" si="3"/>
        <v/>
      </c>
      <c r="G64" s="43"/>
      <c r="H64" s="50"/>
      <c r="I64" s="35">
        <f t="shared" si="5"/>
        <v>0</v>
      </c>
      <c r="J64" s="36" t="e">
        <f t="shared" si="4"/>
        <v>#DIV/0!</v>
      </c>
      <c r="K64" s="17"/>
      <c r="M64" s="17"/>
      <c r="N64" s="17"/>
      <c r="O64" s="17"/>
    </row>
    <row r="65" spans="1:15" ht="17.850000000000001" customHeight="1">
      <c r="A65" s="6"/>
      <c r="B65" s="33">
        <f t="shared" si="1"/>
        <v>0</v>
      </c>
      <c r="C65" s="7" t="s">
        <v>8</v>
      </c>
      <c r="D65" s="39"/>
      <c r="E65" s="34">
        <f t="shared" si="6"/>
        <v>0</v>
      </c>
      <c r="F65" s="2" t="str">
        <f t="shared" si="3"/>
        <v/>
      </c>
      <c r="G65" s="43"/>
      <c r="H65" s="50"/>
      <c r="I65" s="35">
        <f t="shared" si="5"/>
        <v>0</v>
      </c>
      <c r="J65" s="36" t="e">
        <f t="shared" si="4"/>
        <v>#DIV/0!</v>
      </c>
      <c r="K65" s="17"/>
      <c r="M65" s="17"/>
      <c r="N65" s="17"/>
      <c r="O65" s="17"/>
    </row>
    <row r="66" spans="1:15" ht="17.850000000000001" customHeight="1">
      <c r="A66" s="6" t="s">
        <v>230</v>
      </c>
      <c r="B66" s="33">
        <f t="shared" si="1"/>
        <v>1640000</v>
      </c>
      <c r="C66" s="7" t="s">
        <v>8</v>
      </c>
      <c r="D66" s="39">
        <v>1</v>
      </c>
      <c r="E66" s="34">
        <f t="shared" si="6"/>
        <v>1640000</v>
      </c>
      <c r="F66" s="2">
        <f t="shared" si="3"/>
        <v>66</v>
      </c>
      <c r="G66" s="43"/>
      <c r="H66" s="50">
        <v>1148000</v>
      </c>
      <c r="I66" s="35">
        <f t="shared" si="5"/>
        <v>1148000</v>
      </c>
      <c r="J66" s="36">
        <f t="shared" si="4"/>
        <v>0.30000000000000004</v>
      </c>
      <c r="K66" s="17"/>
      <c r="M66" s="17"/>
      <c r="N66" s="17"/>
      <c r="O66" s="17"/>
    </row>
    <row r="67" spans="1:15" ht="17.850000000000001" customHeight="1">
      <c r="A67" s="6" t="s">
        <v>16</v>
      </c>
      <c r="B67" s="33">
        <f t="shared" si="1"/>
        <v>0</v>
      </c>
      <c r="C67" s="7" t="s">
        <v>8</v>
      </c>
      <c r="D67" s="39"/>
      <c r="E67" s="34">
        <f t="shared" si="6"/>
        <v>0</v>
      </c>
      <c r="F67" s="2" t="str">
        <f t="shared" si="3"/>
        <v/>
      </c>
      <c r="G67" s="43"/>
      <c r="H67" s="25"/>
      <c r="I67" s="35">
        <f t="shared" si="5"/>
        <v>0</v>
      </c>
      <c r="J67" s="36" t="e">
        <f t="shared" si="4"/>
        <v>#DIV/0!</v>
      </c>
      <c r="K67" s="17"/>
      <c r="M67" s="17"/>
      <c r="N67" s="17"/>
      <c r="O67" s="17"/>
    </row>
    <row r="68" spans="1:15" ht="17.850000000000001" customHeight="1">
      <c r="A68" s="6" t="s">
        <v>16</v>
      </c>
      <c r="B68" s="33">
        <f t="shared" ref="B68:B131" si="11">ROUNDUP(H68/0.7,-1)</f>
        <v>0</v>
      </c>
      <c r="C68" s="7" t="s">
        <v>8</v>
      </c>
      <c r="D68" s="39"/>
      <c r="E68" s="34">
        <f t="shared" si="6"/>
        <v>0</v>
      </c>
      <c r="F68" s="2" t="str">
        <f t="shared" ref="F68:F131" si="12">IF(D68&gt;0,ROW(),"")</f>
        <v/>
      </c>
      <c r="G68" s="43"/>
      <c r="H68" s="25"/>
      <c r="I68" s="35">
        <f t="shared" si="5"/>
        <v>0</v>
      </c>
      <c r="J68" s="36" t="e">
        <f t="shared" si="4"/>
        <v>#DIV/0!</v>
      </c>
      <c r="K68" s="17"/>
      <c r="M68" s="17"/>
      <c r="N68" s="17"/>
      <c r="O68" s="17"/>
    </row>
    <row r="69" spans="1:15" ht="17.850000000000001" customHeight="1">
      <c r="A69" s="6" t="s">
        <v>16</v>
      </c>
      <c r="B69" s="33">
        <f t="shared" si="11"/>
        <v>0</v>
      </c>
      <c r="C69" s="7" t="s">
        <v>8</v>
      </c>
      <c r="D69" s="39"/>
      <c r="E69" s="34">
        <f t="shared" si="6"/>
        <v>0</v>
      </c>
      <c r="F69" s="2" t="str">
        <f t="shared" si="12"/>
        <v/>
      </c>
      <c r="G69" s="43"/>
      <c r="H69" s="25"/>
      <c r="I69" s="35">
        <f t="shared" si="5"/>
        <v>0</v>
      </c>
      <c r="J69" s="36" t="e">
        <f t="shared" si="4"/>
        <v>#DIV/0!</v>
      </c>
      <c r="K69" s="17"/>
      <c r="M69" s="17"/>
      <c r="N69" s="17"/>
      <c r="O69" s="17"/>
    </row>
    <row r="70" spans="1:15" ht="17.850000000000001" customHeight="1">
      <c r="A70" s="6" t="s">
        <v>16</v>
      </c>
      <c r="B70" s="33">
        <f t="shared" si="11"/>
        <v>0</v>
      </c>
      <c r="C70" s="7" t="s">
        <v>8</v>
      </c>
      <c r="D70" s="39"/>
      <c r="E70" s="34">
        <f t="shared" si="6"/>
        <v>0</v>
      </c>
      <c r="F70" s="2" t="str">
        <f t="shared" si="12"/>
        <v/>
      </c>
      <c r="G70" s="43"/>
      <c r="H70" s="25"/>
      <c r="I70" s="35">
        <f t="shared" si="5"/>
        <v>0</v>
      </c>
      <c r="J70" s="36" t="e">
        <f t="shared" si="4"/>
        <v>#DIV/0!</v>
      </c>
      <c r="K70" s="17"/>
      <c r="M70" s="17"/>
      <c r="N70" s="17"/>
      <c r="O70" s="17"/>
    </row>
    <row r="71" spans="1:15" ht="17.850000000000001" customHeight="1">
      <c r="A71" s="6" t="s">
        <v>16</v>
      </c>
      <c r="B71" s="33">
        <f t="shared" si="11"/>
        <v>0</v>
      </c>
      <c r="C71" s="7" t="s">
        <v>8</v>
      </c>
      <c r="D71" s="39"/>
      <c r="E71" s="34">
        <f t="shared" si="6"/>
        <v>0</v>
      </c>
      <c r="F71" s="2" t="str">
        <f t="shared" si="12"/>
        <v/>
      </c>
      <c r="G71" s="43"/>
      <c r="H71" s="25"/>
      <c r="I71" s="35">
        <f t="shared" ref="I71:I134" si="13">H71*D71</f>
        <v>0</v>
      </c>
      <c r="J71" s="36" t="e">
        <f t="shared" ref="J71:J134" si="14">1-I71/E71</f>
        <v>#DIV/0!</v>
      </c>
      <c r="K71" s="17"/>
      <c r="M71" s="17"/>
      <c r="N71" s="17"/>
      <c r="O71" s="17"/>
    </row>
    <row r="72" spans="1:15" ht="17.850000000000001" customHeight="1">
      <c r="A72" s="6" t="s">
        <v>16</v>
      </c>
      <c r="B72" s="33">
        <f t="shared" si="11"/>
        <v>0</v>
      </c>
      <c r="C72" s="7" t="s">
        <v>8</v>
      </c>
      <c r="D72" s="39"/>
      <c r="E72" s="34">
        <f t="shared" si="6"/>
        <v>0</v>
      </c>
      <c r="F72" s="2" t="str">
        <f t="shared" si="12"/>
        <v/>
      </c>
      <c r="G72" s="43"/>
      <c r="H72" s="25"/>
      <c r="I72" s="35">
        <f t="shared" si="13"/>
        <v>0</v>
      </c>
      <c r="J72" s="36" t="e">
        <f t="shared" si="14"/>
        <v>#DIV/0!</v>
      </c>
      <c r="K72" s="17"/>
      <c r="M72" s="17"/>
      <c r="N72" s="17"/>
      <c r="O72" s="17"/>
    </row>
    <row r="73" spans="1:15" ht="17.850000000000001" customHeight="1">
      <c r="A73" s="6" t="s">
        <v>16</v>
      </c>
      <c r="B73" s="33">
        <f t="shared" si="11"/>
        <v>0</v>
      </c>
      <c r="C73" s="7" t="s">
        <v>8</v>
      </c>
      <c r="D73" s="39"/>
      <c r="E73" s="34">
        <f t="shared" si="6"/>
        <v>0</v>
      </c>
      <c r="F73" s="2" t="str">
        <f t="shared" si="12"/>
        <v/>
      </c>
      <c r="G73" s="43"/>
      <c r="H73" s="25"/>
      <c r="I73" s="35">
        <f t="shared" si="13"/>
        <v>0</v>
      </c>
      <c r="J73" s="36" t="e">
        <f t="shared" si="14"/>
        <v>#DIV/0!</v>
      </c>
      <c r="K73" s="17"/>
      <c r="M73" s="17"/>
      <c r="N73" s="17"/>
      <c r="O73" s="17"/>
    </row>
    <row r="74" spans="1:15" ht="17.850000000000001" customHeight="1">
      <c r="A74" s="6" t="s">
        <v>16</v>
      </c>
      <c r="B74" s="33">
        <f t="shared" si="11"/>
        <v>0</v>
      </c>
      <c r="C74" s="7" t="s">
        <v>8</v>
      </c>
      <c r="D74" s="39"/>
      <c r="E74" s="34">
        <f t="shared" si="6"/>
        <v>0</v>
      </c>
      <c r="F74" s="2" t="str">
        <f t="shared" si="12"/>
        <v/>
      </c>
      <c r="G74" s="43"/>
      <c r="H74" s="25"/>
      <c r="I74" s="35">
        <f t="shared" si="13"/>
        <v>0</v>
      </c>
      <c r="J74" s="36" t="e">
        <f t="shared" si="14"/>
        <v>#DIV/0!</v>
      </c>
      <c r="K74" s="17"/>
      <c r="M74" s="17"/>
      <c r="N74" s="17"/>
      <c r="O74" s="17"/>
    </row>
    <row r="75" spans="1:15" ht="17.850000000000001" customHeight="1">
      <c r="A75" s="6" t="s">
        <v>16</v>
      </c>
      <c r="B75" s="33">
        <f t="shared" si="11"/>
        <v>0</v>
      </c>
      <c r="C75" s="7" t="s">
        <v>8</v>
      </c>
      <c r="D75" s="39"/>
      <c r="E75" s="34">
        <f t="shared" si="6"/>
        <v>0</v>
      </c>
      <c r="F75" s="2" t="str">
        <f t="shared" si="12"/>
        <v/>
      </c>
      <c r="G75" s="43"/>
      <c r="H75" s="25"/>
      <c r="I75" s="35">
        <f t="shared" si="13"/>
        <v>0</v>
      </c>
      <c r="J75" s="36" t="e">
        <f t="shared" si="14"/>
        <v>#DIV/0!</v>
      </c>
      <c r="K75" s="17"/>
      <c r="M75" s="17"/>
      <c r="N75" s="17"/>
      <c r="O75" s="17"/>
    </row>
    <row r="76" spans="1:15" ht="17.850000000000001" customHeight="1">
      <c r="A76" s="6" t="s">
        <v>16</v>
      </c>
      <c r="B76" s="33">
        <f t="shared" si="11"/>
        <v>0</v>
      </c>
      <c r="C76" s="7" t="s">
        <v>8</v>
      </c>
      <c r="D76" s="39"/>
      <c r="E76" s="34">
        <f t="shared" ref="E76:E139" si="15">B76*D76</f>
        <v>0</v>
      </c>
      <c r="F76" s="2" t="str">
        <f t="shared" si="12"/>
        <v/>
      </c>
      <c r="G76" s="43"/>
      <c r="H76" s="25"/>
      <c r="I76" s="35">
        <f t="shared" si="13"/>
        <v>0</v>
      </c>
      <c r="J76" s="36" t="e">
        <f t="shared" si="14"/>
        <v>#DIV/0!</v>
      </c>
      <c r="K76" s="17"/>
      <c r="M76" s="17"/>
      <c r="N76" s="17"/>
      <c r="O76" s="17"/>
    </row>
    <row r="77" spans="1:15" ht="17.850000000000001" customHeight="1">
      <c r="A77" s="6" t="s">
        <v>16</v>
      </c>
      <c r="B77" s="33">
        <f t="shared" si="11"/>
        <v>0</v>
      </c>
      <c r="C77" s="7" t="s">
        <v>8</v>
      </c>
      <c r="D77" s="39"/>
      <c r="E77" s="34">
        <f t="shared" si="15"/>
        <v>0</v>
      </c>
      <c r="F77" s="2" t="str">
        <f t="shared" si="12"/>
        <v/>
      </c>
      <c r="G77" s="43"/>
      <c r="H77" s="25"/>
      <c r="I77" s="35">
        <f t="shared" si="13"/>
        <v>0</v>
      </c>
      <c r="J77" s="36" t="e">
        <f t="shared" si="14"/>
        <v>#DIV/0!</v>
      </c>
      <c r="K77" s="17"/>
      <c r="M77" s="17"/>
      <c r="N77" s="17"/>
      <c r="O77" s="17"/>
    </row>
    <row r="78" spans="1:15" ht="17.850000000000001" customHeight="1">
      <c r="A78" s="6" t="s">
        <v>16</v>
      </c>
      <c r="B78" s="33">
        <f t="shared" si="11"/>
        <v>0</v>
      </c>
      <c r="C78" s="7" t="s">
        <v>8</v>
      </c>
      <c r="D78" s="39"/>
      <c r="E78" s="34">
        <f t="shared" si="15"/>
        <v>0</v>
      </c>
      <c r="F78" s="2" t="str">
        <f t="shared" si="12"/>
        <v/>
      </c>
      <c r="G78" s="43"/>
      <c r="H78" s="25"/>
      <c r="I78" s="35">
        <f t="shared" si="13"/>
        <v>0</v>
      </c>
      <c r="J78" s="36" t="e">
        <f t="shared" si="14"/>
        <v>#DIV/0!</v>
      </c>
      <c r="K78" s="17"/>
      <c r="M78" s="17"/>
      <c r="N78" s="17"/>
      <c r="O78" s="17"/>
    </row>
    <row r="79" spans="1:15" ht="17.850000000000001" customHeight="1">
      <c r="A79" s="6" t="s">
        <v>16</v>
      </c>
      <c r="B79" s="33">
        <f t="shared" si="11"/>
        <v>0</v>
      </c>
      <c r="C79" s="7" t="s">
        <v>8</v>
      </c>
      <c r="D79" s="39"/>
      <c r="E79" s="34">
        <f t="shared" si="15"/>
        <v>0</v>
      </c>
      <c r="F79" s="2" t="str">
        <f t="shared" si="12"/>
        <v/>
      </c>
      <c r="G79" s="43"/>
      <c r="H79" s="25"/>
      <c r="I79" s="35">
        <f t="shared" si="13"/>
        <v>0</v>
      </c>
      <c r="J79" s="36" t="e">
        <f t="shared" si="14"/>
        <v>#DIV/0!</v>
      </c>
      <c r="K79" s="17"/>
      <c r="M79" s="17"/>
      <c r="N79" s="17"/>
      <c r="O79" s="17"/>
    </row>
    <row r="80" spans="1:15" ht="17.850000000000001" customHeight="1">
      <c r="A80" s="6" t="s">
        <v>16</v>
      </c>
      <c r="B80" s="33">
        <f t="shared" si="11"/>
        <v>0</v>
      </c>
      <c r="C80" s="7" t="s">
        <v>8</v>
      </c>
      <c r="D80" s="39"/>
      <c r="E80" s="34">
        <f t="shared" si="15"/>
        <v>0</v>
      </c>
      <c r="F80" s="2" t="str">
        <f t="shared" si="12"/>
        <v/>
      </c>
      <c r="G80" s="43"/>
      <c r="H80" s="25"/>
      <c r="I80" s="35">
        <f t="shared" si="13"/>
        <v>0</v>
      </c>
      <c r="J80" s="36" t="e">
        <f t="shared" si="14"/>
        <v>#DIV/0!</v>
      </c>
      <c r="K80" s="17"/>
      <c r="M80" s="17"/>
      <c r="N80" s="17"/>
      <c r="O80" s="17"/>
    </row>
    <row r="81" spans="1:15" ht="17.850000000000001" customHeight="1">
      <c r="A81" s="6" t="s">
        <v>16</v>
      </c>
      <c r="B81" s="33">
        <f t="shared" si="11"/>
        <v>0</v>
      </c>
      <c r="C81" s="7" t="s">
        <v>8</v>
      </c>
      <c r="D81" s="39"/>
      <c r="E81" s="34">
        <f t="shared" si="15"/>
        <v>0</v>
      </c>
      <c r="F81" s="2" t="str">
        <f t="shared" si="12"/>
        <v/>
      </c>
      <c r="G81" s="43"/>
      <c r="H81" s="25"/>
      <c r="I81" s="35">
        <f t="shared" si="13"/>
        <v>0</v>
      </c>
      <c r="J81" s="36" t="e">
        <f t="shared" si="14"/>
        <v>#DIV/0!</v>
      </c>
      <c r="K81" s="17"/>
      <c r="M81" s="17"/>
      <c r="N81" s="17"/>
      <c r="O81" s="17"/>
    </row>
    <row r="82" spans="1:15" ht="17.850000000000001" customHeight="1">
      <c r="A82" s="6" t="s">
        <v>16</v>
      </c>
      <c r="B82" s="33">
        <f t="shared" si="11"/>
        <v>0</v>
      </c>
      <c r="C82" s="7" t="s">
        <v>8</v>
      </c>
      <c r="D82" s="39"/>
      <c r="E82" s="34">
        <f t="shared" si="15"/>
        <v>0</v>
      </c>
      <c r="F82" s="2" t="str">
        <f t="shared" si="12"/>
        <v/>
      </c>
      <c r="G82" s="43"/>
      <c r="H82" s="25"/>
      <c r="I82" s="35">
        <f t="shared" si="13"/>
        <v>0</v>
      </c>
      <c r="J82" s="36" t="e">
        <f t="shared" si="14"/>
        <v>#DIV/0!</v>
      </c>
      <c r="K82" s="17"/>
      <c r="M82" s="17"/>
      <c r="N82" s="17"/>
      <c r="O82" s="17"/>
    </row>
    <row r="83" spans="1:15" ht="17.850000000000001" customHeight="1">
      <c r="A83" s="6" t="s">
        <v>16</v>
      </c>
      <c r="B83" s="33">
        <f t="shared" si="11"/>
        <v>0</v>
      </c>
      <c r="C83" s="7" t="s">
        <v>8</v>
      </c>
      <c r="D83" s="39"/>
      <c r="E83" s="34">
        <f t="shared" si="15"/>
        <v>0</v>
      </c>
      <c r="F83" s="2" t="str">
        <f t="shared" si="12"/>
        <v/>
      </c>
      <c r="G83" s="43"/>
      <c r="H83" s="25"/>
      <c r="I83" s="35">
        <f t="shared" si="13"/>
        <v>0</v>
      </c>
      <c r="J83" s="36" t="e">
        <f t="shared" si="14"/>
        <v>#DIV/0!</v>
      </c>
      <c r="K83" s="17"/>
      <c r="M83" s="17"/>
      <c r="N83" s="17"/>
      <c r="O83" s="17"/>
    </row>
    <row r="84" spans="1:15" ht="17.850000000000001" customHeight="1">
      <c r="A84" s="6" t="s">
        <v>16</v>
      </c>
      <c r="B84" s="33">
        <f t="shared" si="11"/>
        <v>0</v>
      </c>
      <c r="C84" s="7" t="s">
        <v>8</v>
      </c>
      <c r="D84" s="39"/>
      <c r="E84" s="34">
        <f t="shared" si="15"/>
        <v>0</v>
      </c>
      <c r="F84" s="2" t="str">
        <f t="shared" si="12"/>
        <v/>
      </c>
      <c r="G84" s="43"/>
      <c r="H84" s="25"/>
      <c r="I84" s="35">
        <f t="shared" si="13"/>
        <v>0</v>
      </c>
      <c r="J84" s="36" t="e">
        <f t="shared" si="14"/>
        <v>#DIV/0!</v>
      </c>
      <c r="K84" s="17"/>
      <c r="M84" s="17"/>
      <c r="N84" s="17"/>
      <c r="O84" s="17"/>
    </row>
    <row r="85" spans="1:15" ht="17.850000000000001" customHeight="1">
      <c r="A85" s="6" t="s">
        <v>16</v>
      </c>
      <c r="B85" s="33">
        <f t="shared" si="11"/>
        <v>0</v>
      </c>
      <c r="C85" s="7" t="s">
        <v>8</v>
      </c>
      <c r="D85" s="39"/>
      <c r="E85" s="34">
        <f t="shared" si="15"/>
        <v>0</v>
      </c>
      <c r="F85" s="2" t="str">
        <f t="shared" si="12"/>
        <v/>
      </c>
      <c r="G85" s="43"/>
      <c r="H85" s="25"/>
      <c r="I85" s="35">
        <f t="shared" si="13"/>
        <v>0</v>
      </c>
      <c r="J85" s="36" t="e">
        <f t="shared" si="14"/>
        <v>#DIV/0!</v>
      </c>
      <c r="K85" s="17"/>
      <c r="M85" s="17"/>
      <c r="N85" s="17"/>
      <c r="O85" s="17"/>
    </row>
    <row r="86" spans="1:15" ht="17.850000000000001" customHeight="1">
      <c r="A86" s="6" t="s">
        <v>16</v>
      </c>
      <c r="B86" s="33">
        <f t="shared" si="11"/>
        <v>0</v>
      </c>
      <c r="C86" s="7" t="s">
        <v>8</v>
      </c>
      <c r="D86" s="39"/>
      <c r="E86" s="34">
        <f t="shared" si="15"/>
        <v>0</v>
      </c>
      <c r="F86" s="2" t="str">
        <f t="shared" si="12"/>
        <v/>
      </c>
      <c r="G86" s="43"/>
      <c r="H86" s="25"/>
      <c r="I86" s="35">
        <f t="shared" si="13"/>
        <v>0</v>
      </c>
      <c r="J86" s="36" t="e">
        <f t="shared" si="14"/>
        <v>#DIV/0!</v>
      </c>
      <c r="K86" s="17"/>
      <c r="M86" s="17"/>
      <c r="N86" s="17"/>
      <c r="O86" s="17"/>
    </row>
    <row r="87" spans="1:15" ht="17.850000000000001" customHeight="1">
      <c r="A87" s="6" t="s">
        <v>16</v>
      </c>
      <c r="B87" s="33">
        <f t="shared" si="11"/>
        <v>0</v>
      </c>
      <c r="C87" s="7" t="s">
        <v>8</v>
      </c>
      <c r="D87" s="39"/>
      <c r="E87" s="34">
        <f t="shared" si="15"/>
        <v>0</v>
      </c>
      <c r="F87" s="2" t="str">
        <f t="shared" si="12"/>
        <v/>
      </c>
      <c r="G87" s="43"/>
      <c r="H87" s="25"/>
      <c r="I87" s="35">
        <f t="shared" si="13"/>
        <v>0</v>
      </c>
      <c r="J87" s="36" t="e">
        <f t="shared" si="14"/>
        <v>#DIV/0!</v>
      </c>
      <c r="K87" s="17"/>
      <c r="M87" s="17"/>
      <c r="N87" s="17"/>
      <c r="O87" s="17"/>
    </row>
    <row r="88" spans="1:15" ht="17.850000000000001" customHeight="1">
      <c r="A88" s="6" t="s">
        <v>16</v>
      </c>
      <c r="B88" s="33">
        <f t="shared" si="11"/>
        <v>0</v>
      </c>
      <c r="C88" s="7" t="s">
        <v>8</v>
      </c>
      <c r="D88" s="39"/>
      <c r="E88" s="34">
        <f t="shared" si="15"/>
        <v>0</v>
      </c>
      <c r="F88" s="2" t="str">
        <f t="shared" si="12"/>
        <v/>
      </c>
      <c r="G88" s="43"/>
      <c r="H88" s="25"/>
      <c r="I88" s="35">
        <f t="shared" si="13"/>
        <v>0</v>
      </c>
      <c r="J88" s="36" t="e">
        <f t="shared" si="14"/>
        <v>#DIV/0!</v>
      </c>
      <c r="K88" s="17"/>
      <c r="M88" s="17"/>
      <c r="N88" s="17"/>
      <c r="O88" s="17"/>
    </row>
    <row r="89" spans="1:15" ht="17.850000000000001" customHeight="1">
      <c r="A89" s="6" t="s">
        <v>16</v>
      </c>
      <c r="B89" s="33">
        <f t="shared" si="11"/>
        <v>0</v>
      </c>
      <c r="C89" s="7" t="s">
        <v>8</v>
      </c>
      <c r="D89" s="39"/>
      <c r="E89" s="34">
        <f t="shared" si="15"/>
        <v>0</v>
      </c>
      <c r="F89" s="2" t="str">
        <f t="shared" si="12"/>
        <v/>
      </c>
      <c r="G89" s="43"/>
      <c r="H89" s="25"/>
      <c r="I89" s="35">
        <f t="shared" si="13"/>
        <v>0</v>
      </c>
      <c r="J89" s="36" t="e">
        <f t="shared" si="14"/>
        <v>#DIV/0!</v>
      </c>
      <c r="K89" s="17"/>
      <c r="M89" s="17"/>
      <c r="N89" s="17"/>
      <c r="O89" s="17"/>
    </row>
    <row r="90" spans="1:15" ht="17.850000000000001" customHeight="1">
      <c r="A90" s="6" t="s">
        <v>16</v>
      </c>
      <c r="B90" s="33">
        <f t="shared" si="11"/>
        <v>0</v>
      </c>
      <c r="C90" s="7" t="s">
        <v>8</v>
      </c>
      <c r="D90" s="39"/>
      <c r="E90" s="34">
        <f t="shared" si="15"/>
        <v>0</v>
      </c>
      <c r="F90" s="2" t="str">
        <f t="shared" si="12"/>
        <v/>
      </c>
      <c r="G90" s="43"/>
      <c r="H90" s="25"/>
      <c r="I90" s="35">
        <f t="shared" si="13"/>
        <v>0</v>
      </c>
      <c r="J90" s="36" t="e">
        <f t="shared" si="14"/>
        <v>#DIV/0!</v>
      </c>
      <c r="K90" s="17"/>
      <c r="M90" s="17"/>
      <c r="N90" s="17"/>
      <c r="O90" s="17"/>
    </row>
    <row r="91" spans="1:15" ht="17.850000000000001" customHeight="1">
      <c r="A91" s="6" t="s">
        <v>16</v>
      </c>
      <c r="B91" s="33">
        <f t="shared" si="11"/>
        <v>0</v>
      </c>
      <c r="C91" s="7" t="s">
        <v>8</v>
      </c>
      <c r="D91" s="39"/>
      <c r="E91" s="34">
        <f t="shared" si="15"/>
        <v>0</v>
      </c>
      <c r="F91" s="2" t="str">
        <f t="shared" si="12"/>
        <v/>
      </c>
      <c r="G91" s="43"/>
      <c r="H91" s="25"/>
      <c r="I91" s="35">
        <f t="shared" si="13"/>
        <v>0</v>
      </c>
      <c r="J91" s="36" t="e">
        <f t="shared" si="14"/>
        <v>#DIV/0!</v>
      </c>
      <c r="K91" s="17"/>
      <c r="M91" s="17"/>
      <c r="N91" s="17"/>
      <c r="O91" s="17"/>
    </row>
    <row r="92" spans="1:15" ht="17.850000000000001" customHeight="1">
      <c r="A92" s="6" t="s">
        <v>16</v>
      </c>
      <c r="B92" s="33">
        <f t="shared" si="11"/>
        <v>0</v>
      </c>
      <c r="C92" s="7" t="s">
        <v>8</v>
      </c>
      <c r="D92" s="39"/>
      <c r="E92" s="34">
        <f t="shared" si="15"/>
        <v>0</v>
      </c>
      <c r="F92" s="2" t="str">
        <f t="shared" si="12"/>
        <v/>
      </c>
      <c r="G92" s="43"/>
      <c r="H92" s="25"/>
      <c r="I92" s="35">
        <f t="shared" si="13"/>
        <v>0</v>
      </c>
      <c r="J92" s="36" t="e">
        <f t="shared" si="14"/>
        <v>#DIV/0!</v>
      </c>
      <c r="K92" s="17"/>
      <c r="M92" s="17"/>
      <c r="N92" s="17"/>
      <c r="O92" s="17"/>
    </row>
    <row r="93" spans="1:15" ht="17.850000000000001" customHeight="1">
      <c r="A93" s="6" t="s">
        <v>16</v>
      </c>
      <c r="B93" s="33">
        <f t="shared" si="11"/>
        <v>0</v>
      </c>
      <c r="C93" s="7" t="s">
        <v>8</v>
      </c>
      <c r="D93" s="39"/>
      <c r="E93" s="34">
        <f t="shared" si="15"/>
        <v>0</v>
      </c>
      <c r="F93" s="2" t="str">
        <f t="shared" si="12"/>
        <v/>
      </c>
      <c r="G93" s="43"/>
      <c r="H93" s="25"/>
      <c r="I93" s="35">
        <f t="shared" si="13"/>
        <v>0</v>
      </c>
      <c r="J93" s="36" t="e">
        <f t="shared" si="14"/>
        <v>#DIV/0!</v>
      </c>
      <c r="K93" s="17"/>
      <c r="M93" s="17"/>
      <c r="N93" s="17"/>
      <c r="O93" s="17"/>
    </row>
    <row r="94" spans="1:15" ht="17.850000000000001" customHeight="1">
      <c r="A94" s="6" t="s">
        <v>16</v>
      </c>
      <c r="B94" s="33">
        <f t="shared" si="11"/>
        <v>0</v>
      </c>
      <c r="C94" s="7" t="s">
        <v>8</v>
      </c>
      <c r="D94" s="39"/>
      <c r="E94" s="34">
        <f t="shared" si="15"/>
        <v>0</v>
      </c>
      <c r="F94" s="2" t="str">
        <f t="shared" si="12"/>
        <v/>
      </c>
      <c r="G94" s="43"/>
      <c r="H94" s="25"/>
      <c r="I94" s="35">
        <f t="shared" si="13"/>
        <v>0</v>
      </c>
      <c r="J94" s="36" t="e">
        <f t="shared" si="14"/>
        <v>#DIV/0!</v>
      </c>
      <c r="K94" s="17"/>
      <c r="M94" s="17"/>
      <c r="N94" s="17"/>
      <c r="O94" s="17"/>
    </row>
    <row r="95" spans="1:15" ht="17.850000000000001" customHeight="1">
      <c r="A95" s="6" t="s">
        <v>16</v>
      </c>
      <c r="B95" s="33">
        <f t="shared" si="11"/>
        <v>0</v>
      </c>
      <c r="C95" s="7" t="s">
        <v>8</v>
      </c>
      <c r="D95" s="39"/>
      <c r="E95" s="34">
        <f t="shared" si="15"/>
        <v>0</v>
      </c>
      <c r="F95" s="2" t="str">
        <f t="shared" si="12"/>
        <v/>
      </c>
      <c r="G95" s="43"/>
      <c r="H95" s="25"/>
      <c r="I95" s="35">
        <f t="shared" si="13"/>
        <v>0</v>
      </c>
      <c r="J95" s="36" t="e">
        <f t="shared" si="14"/>
        <v>#DIV/0!</v>
      </c>
      <c r="K95" s="17"/>
      <c r="M95" s="17"/>
      <c r="N95" s="17"/>
      <c r="O95" s="17"/>
    </row>
    <row r="96" spans="1:15" ht="17.850000000000001" customHeight="1">
      <c r="A96" s="6" t="s">
        <v>16</v>
      </c>
      <c r="B96" s="33">
        <f t="shared" si="11"/>
        <v>0</v>
      </c>
      <c r="C96" s="7" t="s">
        <v>8</v>
      </c>
      <c r="D96" s="39"/>
      <c r="E96" s="34">
        <f t="shared" si="15"/>
        <v>0</v>
      </c>
      <c r="F96" s="2" t="str">
        <f t="shared" si="12"/>
        <v/>
      </c>
      <c r="G96" s="43"/>
      <c r="H96" s="25"/>
      <c r="I96" s="35">
        <f t="shared" si="13"/>
        <v>0</v>
      </c>
      <c r="J96" s="36" t="e">
        <f t="shared" si="14"/>
        <v>#DIV/0!</v>
      </c>
      <c r="K96" s="17"/>
      <c r="M96" s="17"/>
      <c r="N96" s="17"/>
      <c r="O96" s="17"/>
    </row>
    <row r="97" spans="1:15" ht="17.850000000000001" customHeight="1">
      <c r="A97" s="6" t="s">
        <v>16</v>
      </c>
      <c r="B97" s="33">
        <f t="shared" si="11"/>
        <v>0</v>
      </c>
      <c r="C97" s="7" t="s">
        <v>8</v>
      </c>
      <c r="D97" s="39"/>
      <c r="E97" s="34">
        <f t="shared" si="15"/>
        <v>0</v>
      </c>
      <c r="F97" s="2" t="str">
        <f t="shared" si="12"/>
        <v/>
      </c>
      <c r="G97" s="43"/>
      <c r="H97" s="25"/>
      <c r="I97" s="35">
        <f t="shared" si="13"/>
        <v>0</v>
      </c>
      <c r="J97" s="36" t="e">
        <f t="shared" si="14"/>
        <v>#DIV/0!</v>
      </c>
      <c r="K97" s="17"/>
      <c r="M97" s="17"/>
      <c r="N97" s="17"/>
      <c r="O97" s="17"/>
    </row>
    <row r="98" spans="1:15" ht="17.850000000000001" customHeight="1">
      <c r="A98" s="6" t="s">
        <v>16</v>
      </c>
      <c r="B98" s="33">
        <f t="shared" si="11"/>
        <v>0</v>
      </c>
      <c r="C98" s="7" t="s">
        <v>8</v>
      </c>
      <c r="D98" s="39"/>
      <c r="E98" s="34">
        <f t="shared" si="15"/>
        <v>0</v>
      </c>
      <c r="F98" s="2" t="str">
        <f t="shared" si="12"/>
        <v/>
      </c>
      <c r="G98" s="43"/>
      <c r="H98" s="25"/>
      <c r="I98" s="35">
        <f t="shared" si="13"/>
        <v>0</v>
      </c>
      <c r="J98" s="36" t="e">
        <f t="shared" si="14"/>
        <v>#DIV/0!</v>
      </c>
      <c r="K98" s="17"/>
      <c r="M98" s="17"/>
      <c r="N98" s="17"/>
      <c r="O98" s="17"/>
    </row>
    <row r="99" spans="1:15" ht="17.850000000000001" customHeight="1">
      <c r="A99" s="6" t="s">
        <v>16</v>
      </c>
      <c r="B99" s="33">
        <f t="shared" si="11"/>
        <v>0</v>
      </c>
      <c r="C99" s="7" t="s">
        <v>8</v>
      </c>
      <c r="D99" s="39"/>
      <c r="E99" s="34">
        <f t="shared" si="15"/>
        <v>0</v>
      </c>
      <c r="F99" s="2" t="str">
        <f t="shared" si="12"/>
        <v/>
      </c>
      <c r="G99" s="43"/>
      <c r="H99" s="25"/>
      <c r="I99" s="35">
        <f t="shared" si="13"/>
        <v>0</v>
      </c>
      <c r="J99" s="36" t="e">
        <f t="shared" si="14"/>
        <v>#DIV/0!</v>
      </c>
      <c r="K99" s="17"/>
      <c r="M99" s="17"/>
      <c r="N99" s="17"/>
      <c r="O99" s="17"/>
    </row>
    <row r="100" spans="1:15" ht="17.850000000000001" customHeight="1">
      <c r="A100" s="6" t="s">
        <v>16</v>
      </c>
      <c r="B100" s="33">
        <f t="shared" si="11"/>
        <v>0</v>
      </c>
      <c r="C100" s="7" t="s">
        <v>8</v>
      </c>
      <c r="D100" s="39"/>
      <c r="E100" s="34">
        <f t="shared" si="15"/>
        <v>0</v>
      </c>
      <c r="F100" s="2" t="str">
        <f t="shared" si="12"/>
        <v/>
      </c>
      <c r="G100" s="43"/>
      <c r="H100" s="25"/>
      <c r="I100" s="35">
        <f t="shared" si="13"/>
        <v>0</v>
      </c>
      <c r="J100" s="36" t="e">
        <f t="shared" si="14"/>
        <v>#DIV/0!</v>
      </c>
      <c r="K100" s="17"/>
      <c r="M100" s="17"/>
      <c r="N100" s="17"/>
      <c r="O100" s="17"/>
    </row>
    <row r="101" spans="1:15" ht="17.850000000000001" customHeight="1">
      <c r="A101" s="6" t="s">
        <v>16</v>
      </c>
      <c r="B101" s="33">
        <f t="shared" si="11"/>
        <v>0</v>
      </c>
      <c r="C101" s="7" t="s">
        <v>8</v>
      </c>
      <c r="D101" s="39"/>
      <c r="E101" s="34">
        <f t="shared" si="15"/>
        <v>0</v>
      </c>
      <c r="F101" s="2" t="str">
        <f t="shared" si="12"/>
        <v/>
      </c>
      <c r="G101" s="43"/>
      <c r="H101" s="25"/>
      <c r="I101" s="35">
        <f t="shared" si="13"/>
        <v>0</v>
      </c>
      <c r="J101" s="36" t="e">
        <f t="shared" si="14"/>
        <v>#DIV/0!</v>
      </c>
      <c r="K101" s="17"/>
      <c r="M101" s="17"/>
      <c r="N101" s="17"/>
      <c r="O101" s="17"/>
    </row>
    <row r="102" spans="1:15" ht="17.850000000000001" customHeight="1">
      <c r="A102" s="6" t="s">
        <v>16</v>
      </c>
      <c r="B102" s="33">
        <f t="shared" si="11"/>
        <v>0</v>
      </c>
      <c r="C102" s="7" t="s">
        <v>8</v>
      </c>
      <c r="D102" s="39"/>
      <c r="E102" s="34">
        <f t="shared" si="15"/>
        <v>0</v>
      </c>
      <c r="F102" s="2" t="str">
        <f t="shared" si="12"/>
        <v/>
      </c>
      <c r="G102" s="43"/>
      <c r="H102" s="25"/>
      <c r="I102" s="35">
        <f t="shared" si="13"/>
        <v>0</v>
      </c>
      <c r="J102" s="36" t="e">
        <f t="shared" si="14"/>
        <v>#DIV/0!</v>
      </c>
      <c r="K102" s="17"/>
      <c r="M102" s="17"/>
      <c r="N102" s="17"/>
      <c r="O102" s="17"/>
    </row>
    <row r="103" spans="1:15" ht="17.850000000000001" customHeight="1">
      <c r="A103" s="6" t="s">
        <v>16</v>
      </c>
      <c r="B103" s="33">
        <f t="shared" si="11"/>
        <v>0</v>
      </c>
      <c r="C103" s="7" t="s">
        <v>8</v>
      </c>
      <c r="D103" s="39"/>
      <c r="E103" s="34">
        <f t="shared" si="15"/>
        <v>0</v>
      </c>
      <c r="F103" s="2" t="str">
        <f t="shared" si="12"/>
        <v/>
      </c>
      <c r="G103" s="43"/>
      <c r="H103" s="25"/>
      <c r="I103" s="35">
        <f t="shared" si="13"/>
        <v>0</v>
      </c>
      <c r="J103" s="36" t="e">
        <f t="shared" si="14"/>
        <v>#DIV/0!</v>
      </c>
      <c r="K103" s="17"/>
      <c r="M103" s="17"/>
      <c r="N103" s="17"/>
      <c r="O103" s="17"/>
    </row>
    <row r="104" spans="1:15" ht="17.850000000000001" customHeight="1">
      <c r="A104" s="6" t="s">
        <v>16</v>
      </c>
      <c r="B104" s="33">
        <f t="shared" si="11"/>
        <v>0</v>
      </c>
      <c r="C104" s="7" t="s">
        <v>8</v>
      </c>
      <c r="D104" s="39"/>
      <c r="E104" s="34">
        <f t="shared" si="15"/>
        <v>0</v>
      </c>
      <c r="F104" s="2" t="str">
        <f t="shared" si="12"/>
        <v/>
      </c>
      <c r="G104" s="43"/>
      <c r="H104" s="25"/>
      <c r="I104" s="35">
        <f t="shared" si="13"/>
        <v>0</v>
      </c>
      <c r="J104" s="36" t="e">
        <f t="shared" si="14"/>
        <v>#DIV/0!</v>
      </c>
      <c r="K104" s="17"/>
      <c r="M104" s="17"/>
      <c r="N104" s="17"/>
      <c r="O104" s="17"/>
    </row>
    <row r="105" spans="1:15" ht="17.850000000000001" customHeight="1">
      <c r="A105" s="6" t="s">
        <v>16</v>
      </c>
      <c r="B105" s="33">
        <f t="shared" si="11"/>
        <v>0</v>
      </c>
      <c r="C105" s="7" t="s">
        <v>8</v>
      </c>
      <c r="D105" s="39"/>
      <c r="E105" s="34">
        <f t="shared" si="15"/>
        <v>0</v>
      </c>
      <c r="F105" s="2" t="str">
        <f t="shared" si="12"/>
        <v/>
      </c>
      <c r="G105" s="43"/>
      <c r="H105" s="25"/>
      <c r="I105" s="35">
        <f t="shared" si="13"/>
        <v>0</v>
      </c>
      <c r="J105" s="36" t="e">
        <f t="shared" si="14"/>
        <v>#DIV/0!</v>
      </c>
      <c r="K105" s="17"/>
      <c r="M105" s="17"/>
      <c r="N105" s="17"/>
      <c r="O105" s="17"/>
    </row>
    <row r="106" spans="1:15" ht="17.850000000000001" customHeight="1">
      <c r="A106" s="6" t="s">
        <v>16</v>
      </c>
      <c r="B106" s="33">
        <f t="shared" si="11"/>
        <v>0</v>
      </c>
      <c r="C106" s="7" t="s">
        <v>8</v>
      </c>
      <c r="D106" s="39"/>
      <c r="E106" s="34">
        <f t="shared" si="15"/>
        <v>0</v>
      </c>
      <c r="F106" s="2" t="str">
        <f t="shared" si="12"/>
        <v/>
      </c>
      <c r="G106" s="43"/>
      <c r="H106" s="25"/>
      <c r="I106" s="35">
        <f t="shared" si="13"/>
        <v>0</v>
      </c>
      <c r="J106" s="36" t="e">
        <f t="shared" si="14"/>
        <v>#DIV/0!</v>
      </c>
      <c r="K106" s="17"/>
      <c r="M106" s="17"/>
      <c r="N106" s="17"/>
      <c r="O106" s="17"/>
    </row>
    <row r="107" spans="1:15" ht="17.850000000000001" customHeight="1">
      <c r="A107" s="6" t="s">
        <v>16</v>
      </c>
      <c r="B107" s="33">
        <f t="shared" si="11"/>
        <v>0</v>
      </c>
      <c r="C107" s="7" t="s">
        <v>8</v>
      </c>
      <c r="D107" s="39"/>
      <c r="E107" s="34">
        <f t="shared" si="15"/>
        <v>0</v>
      </c>
      <c r="F107" s="2" t="str">
        <f t="shared" si="12"/>
        <v/>
      </c>
      <c r="G107" s="43"/>
      <c r="H107" s="25"/>
      <c r="I107" s="35">
        <f t="shared" si="13"/>
        <v>0</v>
      </c>
      <c r="J107" s="36" t="e">
        <f t="shared" si="14"/>
        <v>#DIV/0!</v>
      </c>
      <c r="K107" s="17"/>
      <c r="M107" s="17"/>
      <c r="N107" s="17"/>
      <c r="O107" s="17"/>
    </row>
    <row r="108" spans="1:15" ht="17.850000000000001" customHeight="1">
      <c r="A108" s="6" t="s">
        <v>16</v>
      </c>
      <c r="B108" s="33">
        <f t="shared" si="11"/>
        <v>0</v>
      </c>
      <c r="C108" s="7" t="s">
        <v>8</v>
      </c>
      <c r="D108" s="39"/>
      <c r="E108" s="34">
        <f t="shared" si="15"/>
        <v>0</v>
      </c>
      <c r="F108" s="2" t="str">
        <f t="shared" si="12"/>
        <v/>
      </c>
      <c r="G108" s="43"/>
      <c r="H108" s="25"/>
      <c r="I108" s="35">
        <f t="shared" si="13"/>
        <v>0</v>
      </c>
      <c r="J108" s="36" t="e">
        <f t="shared" si="14"/>
        <v>#DIV/0!</v>
      </c>
      <c r="K108" s="17"/>
      <c r="M108" s="17"/>
      <c r="N108" s="17"/>
      <c r="O108" s="17"/>
    </row>
    <row r="109" spans="1:15" ht="17.850000000000001" customHeight="1">
      <c r="A109" s="6" t="s">
        <v>16</v>
      </c>
      <c r="B109" s="33">
        <f t="shared" si="11"/>
        <v>0</v>
      </c>
      <c r="C109" s="7" t="s">
        <v>8</v>
      </c>
      <c r="D109" s="39"/>
      <c r="E109" s="34">
        <f t="shared" si="15"/>
        <v>0</v>
      </c>
      <c r="F109" s="2" t="str">
        <f t="shared" si="12"/>
        <v/>
      </c>
      <c r="G109" s="43"/>
      <c r="H109" s="25"/>
      <c r="I109" s="35">
        <f t="shared" si="13"/>
        <v>0</v>
      </c>
      <c r="J109" s="36" t="e">
        <f t="shared" si="14"/>
        <v>#DIV/0!</v>
      </c>
      <c r="K109" s="17"/>
      <c r="M109" s="17"/>
      <c r="N109" s="17"/>
      <c r="O109" s="17"/>
    </row>
    <row r="110" spans="1:15" ht="17.850000000000001" customHeight="1">
      <c r="A110" s="6" t="s">
        <v>16</v>
      </c>
      <c r="B110" s="33">
        <f t="shared" si="11"/>
        <v>0</v>
      </c>
      <c r="C110" s="7" t="s">
        <v>8</v>
      </c>
      <c r="D110" s="39"/>
      <c r="E110" s="34">
        <f t="shared" si="15"/>
        <v>0</v>
      </c>
      <c r="F110" s="2" t="str">
        <f t="shared" si="12"/>
        <v/>
      </c>
      <c r="G110" s="43"/>
      <c r="H110" s="25"/>
      <c r="I110" s="35">
        <f t="shared" si="13"/>
        <v>0</v>
      </c>
      <c r="J110" s="36" t="e">
        <f t="shared" si="14"/>
        <v>#DIV/0!</v>
      </c>
      <c r="K110" s="17"/>
      <c r="M110" s="17"/>
      <c r="N110" s="17"/>
      <c r="O110" s="17"/>
    </row>
    <row r="111" spans="1:15" ht="17.850000000000001" customHeight="1">
      <c r="A111" s="6" t="s">
        <v>16</v>
      </c>
      <c r="B111" s="33">
        <f t="shared" si="11"/>
        <v>0</v>
      </c>
      <c r="C111" s="7" t="s">
        <v>8</v>
      </c>
      <c r="D111" s="39"/>
      <c r="E111" s="34">
        <f t="shared" si="15"/>
        <v>0</v>
      </c>
      <c r="F111" s="2" t="str">
        <f t="shared" si="12"/>
        <v/>
      </c>
      <c r="G111" s="43"/>
      <c r="H111" s="25"/>
      <c r="I111" s="35">
        <f t="shared" si="13"/>
        <v>0</v>
      </c>
      <c r="J111" s="36" t="e">
        <f t="shared" si="14"/>
        <v>#DIV/0!</v>
      </c>
      <c r="K111" s="17"/>
      <c r="M111" s="17"/>
      <c r="N111" s="17"/>
      <c r="O111" s="17"/>
    </row>
    <row r="112" spans="1:15" ht="17.850000000000001" customHeight="1">
      <c r="A112" s="6" t="s">
        <v>16</v>
      </c>
      <c r="B112" s="33">
        <f t="shared" si="11"/>
        <v>0</v>
      </c>
      <c r="C112" s="7" t="s">
        <v>8</v>
      </c>
      <c r="D112" s="39"/>
      <c r="E112" s="34">
        <f t="shared" si="15"/>
        <v>0</v>
      </c>
      <c r="F112" s="2" t="str">
        <f t="shared" si="12"/>
        <v/>
      </c>
      <c r="G112" s="43"/>
      <c r="H112" s="25"/>
      <c r="I112" s="35">
        <f t="shared" si="13"/>
        <v>0</v>
      </c>
      <c r="J112" s="36" t="e">
        <f t="shared" si="14"/>
        <v>#DIV/0!</v>
      </c>
      <c r="K112" s="17"/>
      <c r="M112" s="17"/>
      <c r="N112" s="17"/>
      <c r="O112" s="17"/>
    </row>
    <row r="113" spans="1:15" ht="17.850000000000001" customHeight="1">
      <c r="A113" s="6" t="s">
        <v>16</v>
      </c>
      <c r="B113" s="33">
        <f t="shared" si="11"/>
        <v>0</v>
      </c>
      <c r="C113" s="7" t="s">
        <v>8</v>
      </c>
      <c r="D113" s="39"/>
      <c r="E113" s="34">
        <f t="shared" si="15"/>
        <v>0</v>
      </c>
      <c r="F113" s="2" t="str">
        <f t="shared" si="12"/>
        <v/>
      </c>
      <c r="G113" s="43"/>
      <c r="H113" s="25"/>
      <c r="I113" s="35">
        <f t="shared" si="13"/>
        <v>0</v>
      </c>
      <c r="J113" s="36" t="e">
        <f t="shared" si="14"/>
        <v>#DIV/0!</v>
      </c>
      <c r="K113" s="17"/>
      <c r="M113" s="17"/>
      <c r="N113" s="17"/>
      <c r="O113" s="17"/>
    </row>
    <row r="114" spans="1:15" ht="17.850000000000001" customHeight="1">
      <c r="A114" s="6" t="s">
        <v>16</v>
      </c>
      <c r="B114" s="33">
        <f t="shared" si="11"/>
        <v>0</v>
      </c>
      <c r="C114" s="7" t="s">
        <v>8</v>
      </c>
      <c r="D114" s="39"/>
      <c r="E114" s="34">
        <f t="shared" si="15"/>
        <v>0</v>
      </c>
      <c r="F114" s="2" t="str">
        <f t="shared" si="12"/>
        <v/>
      </c>
      <c r="G114" s="43"/>
      <c r="H114" s="25"/>
      <c r="I114" s="35">
        <f t="shared" si="13"/>
        <v>0</v>
      </c>
      <c r="J114" s="36" t="e">
        <f t="shared" si="14"/>
        <v>#DIV/0!</v>
      </c>
      <c r="K114" s="17"/>
      <c r="M114" s="17"/>
      <c r="N114" s="17"/>
      <c r="O114" s="17"/>
    </row>
    <row r="115" spans="1:15" ht="17.850000000000001" customHeight="1">
      <c r="A115" s="6" t="s">
        <v>16</v>
      </c>
      <c r="B115" s="33">
        <f t="shared" si="11"/>
        <v>0</v>
      </c>
      <c r="C115" s="7" t="s">
        <v>8</v>
      </c>
      <c r="D115" s="39"/>
      <c r="E115" s="34">
        <f t="shared" si="15"/>
        <v>0</v>
      </c>
      <c r="F115" s="2" t="str">
        <f t="shared" si="12"/>
        <v/>
      </c>
      <c r="G115" s="43"/>
      <c r="H115" s="25"/>
      <c r="I115" s="35">
        <f t="shared" si="13"/>
        <v>0</v>
      </c>
      <c r="J115" s="36" t="e">
        <f t="shared" si="14"/>
        <v>#DIV/0!</v>
      </c>
      <c r="K115" s="17"/>
      <c r="M115" s="17"/>
      <c r="N115" s="17"/>
      <c r="O115" s="17"/>
    </row>
    <row r="116" spans="1:15" ht="17.850000000000001" customHeight="1">
      <c r="A116" s="6" t="s">
        <v>16</v>
      </c>
      <c r="B116" s="33">
        <f t="shared" si="11"/>
        <v>0</v>
      </c>
      <c r="C116" s="7" t="s">
        <v>8</v>
      </c>
      <c r="D116" s="39"/>
      <c r="E116" s="34">
        <f t="shared" si="15"/>
        <v>0</v>
      </c>
      <c r="F116" s="2" t="str">
        <f t="shared" si="12"/>
        <v/>
      </c>
      <c r="G116" s="43"/>
      <c r="H116" s="25"/>
      <c r="I116" s="35">
        <f t="shared" si="13"/>
        <v>0</v>
      </c>
      <c r="J116" s="36" t="e">
        <f t="shared" si="14"/>
        <v>#DIV/0!</v>
      </c>
      <c r="K116" s="17"/>
      <c r="M116" s="17"/>
      <c r="N116" s="17"/>
      <c r="O116" s="17"/>
    </row>
    <row r="117" spans="1:15" ht="17.850000000000001" customHeight="1">
      <c r="A117" s="6" t="s">
        <v>16</v>
      </c>
      <c r="B117" s="33">
        <f t="shared" si="11"/>
        <v>0</v>
      </c>
      <c r="C117" s="7" t="s">
        <v>8</v>
      </c>
      <c r="D117" s="39"/>
      <c r="E117" s="34">
        <f t="shared" si="15"/>
        <v>0</v>
      </c>
      <c r="F117" s="2" t="str">
        <f t="shared" si="12"/>
        <v/>
      </c>
      <c r="G117" s="43"/>
      <c r="H117" s="25"/>
      <c r="I117" s="35">
        <f t="shared" si="13"/>
        <v>0</v>
      </c>
      <c r="J117" s="36" t="e">
        <f t="shared" si="14"/>
        <v>#DIV/0!</v>
      </c>
      <c r="K117" s="17"/>
      <c r="M117" s="17"/>
      <c r="N117" s="17"/>
      <c r="O117" s="17"/>
    </row>
    <row r="118" spans="1:15" ht="17.850000000000001" customHeight="1">
      <c r="A118" s="6" t="s">
        <v>16</v>
      </c>
      <c r="B118" s="33">
        <f t="shared" si="11"/>
        <v>0</v>
      </c>
      <c r="C118" s="7" t="s">
        <v>8</v>
      </c>
      <c r="D118" s="39"/>
      <c r="E118" s="34">
        <f t="shared" si="15"/>
        <v>0</v>
      </c>
      <c r="F118" s="2" t="str">
        <f t="shared" si="12"/>
        <v/>
      </c>
      <c r="G118" s="43"/>
      <c r="H118" s="25"/>
      <c r="I118" s="35">
        <f t="shared" si="13"/>
        <v>0</v>
      </c>
      <c r="J118" s="36" t="e">
        <f t="shared" si="14"/>
        <v>#DIV/0!</v>
      </c>
      <c r="K118" s="17"/>
      <c r="M118" s="17"/>
      <c r="N118" s="17"/>
      <c r="O118" s="17"/>
    </row>
    <row r="119" spans="1:15" ht="17.850000000000001" customHeight="1">
      <c r="A119" s="6" t="s">
        <v>16</v>
      </c>
      <c r="B119" s="33">
        <f t="shared" si="11"/>
        <v>0</v>
      </c>
      <c r="C119" s="7" t="s">
        <v>8</v>
      </c>
      <c r="D119" s="39"/>
      <c r="E119" s="34">
        <f t="shared" si="15"/>
        <v>0</v>
      </c>
      <c r="F119" s="2" t="str">
        <f t="shared" si="12"/>
        <v/>
      </c>
      <c r="G119" s="43"/>
      <c r="H119" s="25"/>
      <c r="I119" s="35">
        <f t="shared" si="13"/>
        <v>0</v>
      </c>
      <c r="J119" s="36" t="e">
        <f t="shared" si="14"/>
        <v>#DIV/0!</v>
      </c>
      <c r="K119" s="17"/>
      <c r="M119" s="17"/>
      <c r="N119" s="17"/>
      <c r="O119" s="17"/>
    </row>
    <row r="120" spans="1:15" ht="17.850000000000001" customHeight="1">
      <c r="A120" s="6" t="s">
        <v>16</v>
      </c>
      <c r="B120" s="33">
        <f t="shared" si="11"/>
        <v>0</v>
      </c>
      <c r="C120" s="7" t="s">
        <v>8</v>
      </c>
      <c r="D120" s="39"/>
      <c r="E120" s="34">
        <f t="shared" si="15"/>
        <v>0</v>
      </c>
      <c r="F120" s="2" t="str">
        <f t="shared" si="12"/>
        <v/>
      </c>
      <c r="G120" s="43"/>
      <c r="H120" s="25"/>
      <c r="I120" s="35">
        <f t="shared" si="13"/>
        <v>0</v>
      </c>
      <c r="J120" s="36" t="e">
        <f t="shared" si="14"/>
        <v>#DIV/0!</v>
      </c>
      <c r="K120" s="17"/>
      <c r="M120" s="17"/>
      <c r="N120" s="17"/>
      <c r="O120" s="17"/>
    </row>
    <row r="121" spans="1:15" ht="17.850000000000001" customHeight="1">
      <c r="A121" s="6" t="s">
        <v>16</v>
      </c>
      <c r="B121" s="33">
        <f t="shared" si="11"/>
        <v>0</v>
      </c>
      <c r="C121" s="7" t="s">
        <v>8</v>
      </c>
      <c r="D121" s="39"/>
      <c r="E121" s="34">
        <f t="shared" si="15"/>
        <v>0</v>
      </c>
      <c r="F121" s="2" t="str">
        <f t="shared" si="12"/>
        <v/>
      </c>
      <c r="G121" s="43"/>
      <c r="H121" s="25"/>
      <c r="I121" s="35">
        <f t="shared" si="13"/>
        <v>0</v>
      </c>
      <c r="J121" s="36" t="e">
        <f t="shared" si="14"/>
        <v>#DIV/0!</v>
      </c>
      <c r="K121" s="17"/>
      <c r="M121" s="17"/>
      <c r="N121" s="17"/>
      <c r="O121" s="17"/>
    </row>
    <row r="122" spans="1:15" ht="17.850000000000001" customHeight="1">
      <c r="A122" s="6" t="s">
        <v>16</v>
      </c>
      <c r="B122" s="33">
        <f t="shared" si="11"/>
        <v>0</v>
      </c>
      <c r="C122" s="7" t="s">
        <v>8</v>
      </c>
      <c r="D122" s="39"/>
      <c r="E122" s="34">
        <f t="shared" si="15"/>
        <v>0</v>
      </c>
      <c r="F122" s="2" t="str">
        <f t="shared" si="12"/>
        <v/>
      </c>
      <c r="G122" s="43"/>
      <c r="H122" s="25"/>
      <c r="I122" s="35">
        <f t="shared" si="13"/>
        <v>0</v>
      </c>
      <c r="J122" s="36" t="e">
        <f t="shared" si="14"/>
        <v>#DIV/0!</v>
      </c>
      <c r="K122" s="17"/>
      <c r="M122" s="17"/>
      <c r="N122" s="17"/>
      <c r="O122" s="17"/>
    </row>
    <row r="123" spans="1:15" ht="17.850000000000001" customHeight="1">
      <c r="A123" s="6" t="s">
        <v>16</v>
      </c>
      <c r="B123" s="33">
        <f t="shared" si="11"/>
        <v>0</v>
      </c>
      <c r="C123" s="7" t="s">
        <v>8</v>
      </c>
      <c r="D123" s="39"/>
      <c r="E123" s="34">
        <f t="shared" si="15"/>
        <v>0</v>
      </c>
      <c r="F123" s="2" t="str">
        <f t="shared" si="12"/>
        <v/>
      </c>
      <c r="G123" s="43"/>
      <c r="H123" s="25"/>
      <c r="I123" s="35">
        <f t="shared" si="13"/>
        <v>0</v>
      </c>
      <c r="J123" s="36" t="e">
        <f t="shared" si="14"/>
        <v>#DIV/0!</v>
      </c>
      <c r="K123" s="17"/>
      <c r="M123" s="17"/>
      <c r="N123" s="17"/>
      <c r="O123" s="17"/>
    </row>
    <row r="124" spans="1:15" ht="17.850000000000001" customHeight="1">
      <c r="A124" s="6" t="s">
        <v>16</v>
      </c>
      <c r="B124" s="33">
        <f t="shared" si="11"/>
        <v>0</v>
      </c>
      <c r="C124" s="7" t="s">
        <v>8</v>
      </c>
      <c r="D124" s="39"/>
      <c r="E124" s="34">
        <f t="shared" si="15"/>
        <v>0</v>
      </c>
      <c r="F124" s="2" t="str">
        <f t="shared" si="12"/>
        <v/>
      </c>
      <c r="G124" s="43"/>
      <c r="H124" s="25"/>
      <c r="I124" s="35">
        <f t="shared" si="13"/>
        <v>0</v>
      </c>
      <c r="J124" s="36" t="e">
        <f t="shared" si="14"/>
        <v>#DIV/0!</v>
      </c>
      <c r="K124" s="17"/>
      <c r="M124" s="17"/>
      <c r="N124" s="17"/>
      <c r="O124" s="17"/>
    </row>
    <row r="125" spans="1:15" ht="17.850000000000001" customHeight="1">
      <c r="A125" s="6" t="s">
        <v>16</v>
      </c>
      <c r="B125" s="33">
        <f t="shared" si="11"/>
        <v>0</v>
      </c>
      <c r="C125" s="7" t="s">
        <v>8</v>
      </c>
      <c r="D125" s="39"/>
      <c r="E125" s="34">
        <f t="shared" si="15"/>
        <v>0</v>
      </c>
      <c r="F125" s="2" t="str">
        <f t="shared" si="12"/>
        <v/>
      </c>
      <c r="G125" s="43"/>
      <c r="H125" s="25"/>
      <c r="I125" s="35">
        <f t="shared" si="13"/>
        <v>0</v>
      </c>
      <c r="J125" s="36" t="e">
        <f t="shared" si="14"/>
        <v>#DIV/0!</v>
      </c>
      <c r="K125" s="17"/>
      <c r="M125" s="17"/>
      <c r="N125" s="17"/>
      <c r="O125" s="17"/>
    </row>
    <row r="126" spans="1:15" ht="17.850000000000001" customHeight="1">
      <c r="A126" s="6" t="s">
        <v>16</v>
      </c>
      <c r="B126" s="33">
        <f t="shared" si="11"/>
        <v>0</v>
      </c>
      <c r="C126" s="7" t="s">
        <v>8</v>
      </c>
      <c r="D126" s="39"/>
      <c r="E126" s="34">
        <f t="shared" si="15"/>
        <v>0</v>
      </c>
      <c r="F126" s="2" t="str">
        <f t="shared" si="12"/>
        <v/>
      </c>
      <c r="G126" s="43"/>
      <c r="H126" s="25"/>
      <c r="I126" s="35">
        <f t="shared" si="13"/>
        <v>0</v>
      </c>
      <c r="J126" s="36" t="e">
        <f t="shared" si="14"/>
        <v>#DIV/0!</v>
      </c>
      <c r="K126" s="17"/>
      <c r="M126" s="17"/>
      <c r="N126" s="17"/>
      <c r="O126" s="17"/>
    </row>
    <row r="127" spans="1:15" ht="17.850000000000001" customHeight="1">
      <c r="A127" s="6" t="s">
        <v>16</v>
      </c>
      <c r="B127" s="33">
        <f t="shared" si="11"/>
        <v>0</v>
      </c>
      <c r="C127" s="7" t="s">
        <v>8</v>
      </c>
      <c r="D127" s="39"/>
      <c r="E127" s="34">
        <f t="shared" si="15"/>
        <v>0</v>
      </c>
      <c r="F127" s="2" t="str">
        <f t="shared" si="12"/>
        <v/>
      </c>
      <c r="G127" s="43"/>
      <c r="H127" s="25"/>
      <c r="I127" s="35">
        <f t="shared" si="13"/>
        <v>0</v>
      </c>
      <c r="J127" s="36" t="e">
        <f t="shared" si="14"/>
        <v>#DIV/0!</v>
      </c>
      <c r="K127" s="17"/>
      <c r="M127" s="17"/>
      <c r="N127" s="17"/>
      <c r="O127" s="17"/>
    </row>
    <row r="128" spans="1:15" ht="17.850000000000001" customHeight="1">
      <c r="A128" s="6" t="s">
        <v>16</v>
      </c>
      <c r="B128" s="33">
        <f t="shared" si="11"/>
        <v>0</v>
      </c>
      <c r="C128" s="7" t="s">
        <v>8</v>
      </c>
      <c r="D128" s="39"/>
      <c r="E128" s="34">
        <f t="shared" si="15"/>
        <v>0</v>
      </c>
      <c r="F128" s="2" t="str">
        <f t="shared" si="12"/>
        <v/>
      </c>
      <c r="G128" s="43"/>
      <c r="H128" s="25"/>
      <c r="I128" s="35">
        <f t="shared" si="13"/>
        <v>0</v>
      </c>
      <c r="J128" s="36" t="e">
        <f t="shared" si="14"/>
        <v>#DIV/0!</v>
      </c>
      <c r="K128" s="17"/>
      <c r="M128" s="17"/>
      <c r="N128" s="17"/>
      <c r="O128" s="17"/>
    </row>
    <row r="129" spans="1:15" ht="17.850000000000001" customHeight="1">
      <c r="A129" s="6" t="s">
        <v>104</v>
      </c>
      <c r="B129" s="33">
        <f t="shared" si="11"/>
        <v>102000</v>
      </c>
      <c r="C129" s="7" t="s">
        <v>8</v>
      </c>
      <c r="D129" s="39"/>
      <c r="E129" s="34">
        <f t="shared" si="15"/>
        <v>0</v>
      </c>
      <c r="F129" s="2" t="str">
        <f t="shared" si="12"/>
        <v/>
      </c>
      <c r="G129" s="43"/>
      <c r="H129" s="25">
        <f>11900*6</f>
        <v>71400</v>
      </c>
      <c r="I129" s="35">
        <f t="shared" si="13"/>
        <v>0</v>
      </c>
      <c r="J129" s="36" t="e">
        <f t="shared" si="14"/>
        <v>#DIV/0!</v>
      </c>
      <c r="K129" s="17"/>
      <c r="M129" s="17"/>
      <c r="N129" s="17"/>
      <c r="O129" s="17"/>
    </row>
    <row r="130" spans="1:15" ht="17.850000000000001" customHeight="1">
      <c r="A130" s="6" t="s">
        <v>105</v>
      </c>
      <c r="B130" s="33">
        <f t="shared" si="11"/>
        <v>153000</v>
      </c>
      <c r="C130" s="7" t="s">
        <v>8</v>
      </c>
      <c r="D130" s="39"/>
      <c r="E130" s="34">
        <f t="shared" si="15"/>
        <v>0</v>
      </c>
      <c r="F130" s="2" t="str">
        <f t="shared" si="12"/>
        <v/>
      </c>
      <c r="G130" s="43"/>
      <c r="H130" s="25">
        <f>11900*9</f>
        <v>107100</v>
      </c>
      <c r="I130" s="35">
        <f t="shared" si="13"/>
        <v>0</v>
      </c>
      <c r="J130" s="36" t="e">
        <f t="shared" si="14"/>
        <v>#DIV/0!</v>
      </c>
      <c r="K130" s="17"/>
      <c r="M130" s="17"/>
      <c r="N130" s="17"/>
      <c r="O130" s="17"/>
    </row>
    <row r="131" spans="1:15" ht="17.850000000000001" customHeight="1">
      <c r="A131" s="6" t="s">
        <v>106</v>
      </c>
      <c r="B131" s="33">
        <f t="shared" si="11"/>
        <v>204000</v>
      </c>
      <c r="C131" s="7" t="s">
        <v>8</v>
      </c>
      <c r="D131" s="39"/>
      <c r="E131" s="34">
        <f t="shared" si="15"/>
        <v>0</v>
      </c>
      <c r="F131" s="2" t="str">
        <f t="shared" si="12"/>
        <v/>
      </c>
      <c r="G131" s="43"/>
      <c r="H131" s="25">
        <f>11900*12</f>
        <v>142800</v>
      </c>
      <c r="I131" s="35">
        <f t="shared" si="13"/>
        <v>0</v>
      </c>
      <c r="J131" s="36" t="e">
        <f t="shared" si="14"/>
        <v>#DIV/0!</v>
      </c>
      <c r="K131" s="17"/>
      <c r="M131" s="17"/>
      <c r="N131" s="17"/>
      <c r="O131" s="17"/>
    </row>
    <row r="132" spans="1:15" ht="17.850000000000001" customHeight="1">
      <c r="A132" s="6" t="s">
        <v>16</v>
      </c>
      <c r="B132" s="33">
        <f t="shared" ref="B132:B195" si="16">ROUNDUP(H132/0.7,-1)</f>
        <v>0</v>
      </c>
      <c r="C132" s="7" t="s">
        <v>8</v>
      </c>
      <c r="D132" s="39"/>
      <c r="E132" s="34">
        <f t="shared" si="15"/>
        <v>0</v>
      </c>
      <c r="F132" s="2" t="str">
        <f t="shared" ref="F132:F195" si="17">IF(D132&gt;0,ROW(),"")</f>
        <v/>
      </c>
      <c r="G132" s="42"/>
      <c r="H132" s="25"/>
      <c r="I132" s="35">
        <f t="shared" si="13"/>
        <v>0</v>
      </c>
      <c r="J132" s="36" t="e">
        <f t="shared" si="14"/>
        <v>#DIV/0!</v>
      </c>
      <c r="K132" s="17"/>
      <c r="M132" s="17"/>
      <c r="N132" s="17"/>
      <c r="O132" s="17"/>
    </row>
    <row r="133" spans="1:15" ht="17.850000000000001" customHeight="1">
      <c r="A133" s="6" t="s">
        <v>16</v>
      </c>
      <c r="B133" s="33">
        <f t="shared" si="16"/>
        <v>0</v>
      </c>
      <c r="C133" s="7" t="s">
        <v>8</v>
      </c>
      <c r="D133" s="39"/>
      <c r="E133" s="34">
        <f t="shared" si="15"/>
        <v>0</v>
      </c>
      <c r="F133" s="2" t="str">
        <f t="shared" si="17"/>
        <v/>
      </c>
      <c r="G133" s="43"/>
      <c r="H133" s="25"/>
      <c r="I133" s="35">
        <f t="shared" si="13"/>
        <v>0</v>
      </c>
      <c r="J133" s="36" t="e">
        <f t="shared" si="14"/>
        <v>#DIV/0!</v>
      </c>
      <c r="K133" s="17"/>
      <c r="M133" s="17"/>
      <c r="N133" s="17"/>
      <c r="O133" s="17"/>
    </row>
    <row r="134" spans="1:15" ht="17.850000000000001" customHeight="1">
      <c r="A134" s="6" t="s">
        <v>16</v>
      </c>
      <c r="B134" s="33">
        <f t="shared" si="16"/>
        <v>0</v>
      </c>
      <c r="C134" s="7" t="s">
        <v>8</v>
      </c>
      <c r="D134" s="39"/>
      <c r="E134" s="34">
        <f t="shared" si="15"/>
        <v>0</v>
      </c>
      <c r="F134" s="2" t="str">
        <f t="shared" si="17"/>
        <v/>
      </c>
      <c r="G134" s="43"/>
      <c r="H134" s="25"/>
      <c r="I134" s="35">
        <f t="shared" si="13"/>
        <v>0</v>
      </c>
      <c r="J134" s="36" t="e">
        <f t="shared" si="14"/>
        <v>#DIV/0!</v>
      </c>
      <c r="K134" s="17"/>
      <c r="M134" s="17"/>
      <c r="N134" s="17"/>
      <c r="O134" s="17"/>
    </row>
    <row r="135" spans="1:15" ht="17.850000000000001" customHeight="1">
      <c r="A135" s="6" t="s">
        <v>16</v>
      </c>
      <c r="B135" s="33">
        <f t="shared" si="16"/>
        <v>0</v>
      </c>
      <c r="C135" s="7" t="s">
        <v>8</v>
      </c>
      <c r="D135" s="39"/>
      <c r="E135" s="34">
        <f t="shared" si="15"/>
        <v>0</v>
      </c>
      <c r="F135" s="2" t="str">
        <f t="shared" si="17"/>
        <v/>
      </c>
      <c r="G135" s="44"/>
      <c r="H135" s="25"/>
      <c r="I135" s="35">
        <f t="shared" ref="I135:I198" si="18">H135*D135</f>
        <v>0</v>
      </c>
      <c r="J135" s="36" t="e">
        <f t="shared" ref="J135:J198" si="19">1-I135/E135</f>
        <v>#DIV/0!</v>
      </c>
      <c r="K135" s="17"/>
      <c r="M135" s="17"/>
      <c r="N135" s="17"/>
      <c r="O135" s="17"/>
    </row>
    <row r="136" spans="1:15" ht="17.850000000000001" customHeight="1">
      <c r="A136" s="6" t="s">
        <v>16</v>
      </c>
      <c r="B136" s="33">
        <f t="shared" si="16"/>
        <v>0</v>
      </c>
      <c r="C136" s="7" t="s">
        <v>8</v>
      </c>
      <c r="D136" s="39"/>
      <c r="E136" s="34">
        <f t="shared" si="15"/>
        <v>0</v>
      </c>
      <c r="F136" s="2" t="str">
        <f t="shared" si="17"/>
        <v/>
      </c>
      <c r="G136" s="43"/>
      <c r="H136" s="25"/>
      <c r="I136" s="35">
        <f t="shared" si="18"/>
        <v>0</v>
      </c>
      <c r="J136" s="36" t="e">
        <f t="shared" si="19"/>
        <v>#DIV/0!</v>
      </c>
      <c r="K136" s="17"/>
      <c r="M136" s="17"/>
      <c r="N136" s="17"/>
      <c r="O136" s="17"/>
    </row>
    <row r="137" spans="1:15" ht="17.850000000000001" customHeight="1">
      <c r="A137" s="6" t="s">
        <v>16</v>
      </c>
      <c r="B137" s="33">
        <f t="shared" si="16"/>
        <v>0</v>
      </c>
      <c r="C137" s="7" t="s">
        <v>8</v>
      </c>
      <c r="D137" s="39"/>
      <c r="E137" s="34">
        <f t="shared" si="15"/>
        <v>0</v>
      </c>
      <c r="F137" s="2" t="str">
        <f t="shared" si="17"/>
        <v/>
      </c>
      <c r="G137" s="43"/>
      <c r="H137" s="25"/>
      <c r="I137" s="35">
        <f t="shared" si="18"/>
        <v>0</v>
      </c>
      <c r="J137" s="36" t="e">
        <f t="shared" si="19"/>
        <v>#DIV/0!</v>
      </c>
      <c r="K137" s="17"/>
      <c r="M137" s="17"/>
      <c r="N137" s="17"/>
      <c r="O137" s="17"/>
    </row>
    <row r="138" spans="1:15" ht="17.850000000000001" customHeight="1">
      <c r="A138" s="6" t="s">
        <v>16</v>
      </c>
      <c r="B138" s="33">
        <f t="shared" si="16"/>
        <v>0</v>
      </c>
      <c r="C138" s="7" t="s">
        <v>8</v>
      </c>
      <c r="D138" s="39"/>
      <c r="E138" s="34">
        <f t="shared" si="15"/>
        <v>0</v>
      </c>
      <c r="F138" s="2" t="str">
        <f t="shared" si="17"/>
        <v/>
      </c>
      <c r="G138" s="43"/>
      <c r="H138" s="25"/>
      <c r="I138" s="35">
        <f t="shared" si="18"/>
        <v>0</v>
      </c>
      <c r="J138" s="36" t="e">
        <f t="shared" si="19"/>
        <v>#DIV/0!</v>
      </c>
      <c r="K138" s="17"/>
      <c r="M138" s="17"/>
      <c r="N138" s="17"/>
      <c r="O138" s="17"/>
    </row>
    <row r="139" spans="1:15" ht="17.850000000000001" customHeight="1">
      <c r="A139" s="6" t="s">
        <v>16</v>
      </c>
      <c r="B139" s="33">
        <f t="shared" si="16"/>
        <v>0</v>
      </c>
      <c r="C139" s="7" t="s">
        <v>8</v>
      </c>
      <c r="D139" s="39"/>
      <c r="E139" s="34">
        <f t="shared" si="15"/>
        <v>0</v>
      </c>
      <c r="F139" s="2" t="str">
        <f t="shared" si="17"/>
        <v/>
      </c>
      <c r="G139" s="43"/>
      <c r="H139" s="25"/>
      <c r="I139" s="35">
        <f t="shared" si="18"/>
        <v>0</v>
      </c>
      <c r="J139" s="36" t="e">
        <f t="shared" si="19"/>
        <v>#DIV/0!</v>
      </c>
      <c r="K139" s="17"/>
      <c r="M139" s="17"/>
      <c r="N139" s="17"/>
      <c r="O139" s="17"/>
    </row>
    <row r="140" spans="1:15" ht="17.850000000000001" customHeight="1">
      <c r="A140" s="6" t="s">
        <v>16</v>
      </c>
      <c r="B140" s="33">
        <f t="shared" si="16"/>
        <v>0</v>
      </c>
      <c r="C140" s="7" t="s">
        <v>8</v>
      </c>
      <c r="D140" s="39"/>
      <c r="E140" s="34">
        <f t="shared" ref="E140:E203" si="20">B140*D140</f>
        <v>0</v>
      </c>
      <c r="F140" s="2" t="str">
        <f t="shared" si="17"/>
        <v/>
      </c>
      <c r="G140" s="43"/>
      <c r="H140" s="25"/>
      <c r="I140" s="35">
        <f t="shared" si="18"/>
        <v>0</v>
      </c>
      <c r="J140" s="36" t="e">
        <f t="shared" si="19"/>
        <v>#DIV/0!</v>
      </c>
      <c r="K140" s="17"/>
      <c r="M140" s="17"/>
      <c r="N140" s="17"/>
      <c r="O140" s="17"/>
    </row>
    <row r="141" spans="1:15" ht="17.850000000000001" customHeight="1">
      <c r="A141" s="6" t="s">
        <v>16</v>
      </c>
      <c r="B141" s="33">
        <f t="shared" si="16"/>
        <v>0</v>
      </c>
      <c r="C141" s="7" t="s">
        <v>8</v>
      </c>
      <c r="D141" s="39"/>
      <c r="E141" s="34">
        <f t="shared" si="20"/>
        <v>0</v>
      </c>
      <c r="F141" s="2" t="str">
        <f t="shared" si="17"/>
        <v/>
      </c>
      <c r="G141" s="43"/>
      <c r="H141" s="25"/>
      <c r="I141" s="35">
        <f t="shared" si="18"/>
        <v>0</v>
      </c>
      <c r="J141" s="36" t="e">
        <f t="shared" si="19"/>
        <v>#DIV/0!</v>
      </c>
      <c r="K141" s="17"/>
      <c r="M141" s="17"/>
      <c r="N141" s="17"/>
      <c r="O141" s="17"/>
    </row>
    <row r="142" spans="1:15" ht="17.850000000000001" customHeight="1">
      <c r="A142" s="6" t="s">
        <v>16</v>
      </c>
      <c r="B142" s="33">
        <f t="shared" si="16"/>
        <v>0</v>
      </c>
      <c r="C142" s="7" t="s">
        <v>8</v>
      </c>
      <c r="D142" s="39"/>
      <c r="E142" s="34">
        <f t="shared" si="20"/>
        <v>0</v>
      </c>
      <c r="F142" s="2" t="str">
        <f t="shared" si="17"/>
        <v/>
      </c>
      <c r="G142" s="44"/>
      <c r="H142" s="25"/>
      <c r="I142" s="35">
        <f t="shared" si="18"/>
        <v>0</v>
      </c>
      <c r="J142" s="36" t="e">
        <f t="shared" si="19"/>
        <v>#DIV/0!</v>
      </c>
      <c r="K142" s="17"/>
      <c r="M142" s="17"/>
      <c r="N142" s="17"/>
      <c r="O142" s="17"/>
    </row>
    <row r="143" spans="1:15" ht="17.850000000000001" customHeight="1">
      <c r="A143" s="6" t="s">
        <v>16</v>
      </c>
      <c r="B143" s="33">
        <f t="shared" si="16"/>
        <v>0</v>
      </c>
      <c r="C143" s="7" t="s">
        <v>8</v>
      </c>
      <c r="D143" s="39"/>
      <c r="E143" s="34">
        <f t="shared" si="20"/>
        <v>0</v>
      </c>
      <c r="F143" s="2" t="str">
        <f t="shared" si="17"/>
        <v/>
      </c>
      <c r="G143" s="44"/>
      <c r="H143" s="25"/>
      <c r="I143" s="35">
        <f t="shared" si="18"/>
        <v>0</v>
      </c>
      <c r="J143" s="36" t="e">
        <f t="shared" si="19"/>
        <v>#DIV/0!</v>
      </c>
      <c r="K143" s="17"/>
      <c r="M143" s="17"/>
      <c r="N143" s="17"/>
      <c r="O143" s="17"/>
    </row>
    <row r="144" spans="1:15" ht="17.850000000000001" customHeight="1">
      <c r="A144" s="6" t="s">
        <v>16</v>
      </c>
      <c r="B144" s="33">
        <f t="shared" si="16"/>
        <v>0</v>
      </c>
      <c r="C144" s="7" t="s">
        <v>8</v>
      </c>
      <c r="D144" s="39"/>
      <c r="E144" s="34">
        <f t="shared" si="20"/>
        <v>0</v>
      </c>
      <c r="F144" s="2" t="str">
        <f t="shared" si="17"/>
        <v/>
      </c>
      <c r="G144" s="43"/>
      <c r="H144" s="25"/>
      <c r="I144" s="35">
        <f t="shared" si="18"/>
        <v>0</v>
      </c>
      <c r="J144" s="36" t="e">
        <f t="shared" si="19"/>
        <v>#DIV/0!</v>
      </c>
      <c r="K144" s="17"/>
      <c r="M144" s="17"/>
      <c r="N144" s="17"/>
      <c r="O144" s="17"/>
    </row>
    <row r="145" spans="1:15" ht="17.850000000000001" customHeight="1">
      <c r="A145" s="6" t="s">
        <v>16</v>
      </c>
      <c r="B145" s="33">
        <f t="shared" si="16"/>
        <v>0</v>
      </c>
      <c r="C145" s="7" t="s">
        <v>8</v>
      </c>
      <c r="D145" s="39"/>
      <c r="E145" s="34">
        <f t="shared" si="20"/>
        <v>0</v>
      </c>
      <c r="F145" s="2" t="str">
        <f t="shared" si="17"/>
        <v/>
      </c>
      <c r="G145" s="43"/>
      <c r="H145" s="25"/>
      <c r="I145" s="35">
        <f t="shared" si="18"/>
        <v>0</v>
      </c>
      <c r="J145" s="36" t="e">
        <f t="shared" si="19"/>
        <v>#DIV/0!</v>
      </c>
      <c r="K145" s="17"/>
      <c r="M145" s="17"/>
      <c r="N145" s="17"/>
      <c r="O145" s="17"/>
    </row>
    <row r="146" spans="1:15" ht="17.850000000000001" customHeight="1">
      <c r="A146" s="6" t="s">
        <v>16</v>
      </c>
      <c r="B146" s="33">
        <f t="shared" si="16"/>
        <v>0</v>
      </c>
      <c r="C146" s="7" t="s">
        <v>8</v>
      </c>
      <c r="D146" s="39"/>
      <c r="E146" s="34">
        <f t="shared" si="20"/>
        <v>0</v>
      </c>
      <c r="F146" s="2" t="str">
        <f t="shared" si="17"/>
        <v/>
      </c>
      <c r="G146" s="43"/>
      <c r="H146" s="25"/>
      <c r="I146" s="35">
        <f t="shared" si="18"/>
        <v>0</v>
      </c>
      <c r="J146" s="36" t="e">
        <f t="shared" si="19"/>
        <v>#DIV/0!</v>
      </c>
      <c r="K146" s="17"/>
      <c r="M146" s="17"/>
      <c r="N146" s="17"/>
      <c r="O146" s="17"/>
    </row>
    <row r="147" spans="1:15" ht="17.850000000000001" customHeight="1">
      <c r="A147" s="6" t="s">
        <v>16</v>
      </c>
      <c r="B147" s="33">
        <f t="shared" si="16"/>
        <v>0</v>
      </c>
      <c r="C147" s="7" t="s">
        <v>8</v>
      </c>
      <c r="D147" s="39"/>
      <c r="E147" s="34">
        <f t="shared" si="20"/>
        <v>0</v>
      </c>
      <c r="F147" s="2" t="str">
        <f t="shared" si="17"/>
        <v/>
      </c>
      <c r="G147" s="43"/>
      <c r="H147" s="25"/>
      <c r="I147" s="35">
        <f t="shared" si="18"/>
        <v>0</v>
      </c>
      <c r="J147" s="36" t="e">
        <f t="shared" si="19"/>
        <v>#DIV/0!</v>
      </c>
      <c r="K147" s="17"/>
      <c r="M147" s="17"/>
      <c r="N147" s="17"/>
      <c r="O147" s="17"/>
    </row>
    <row r="148" spans="1:15" ht="17.850000000000001" customHeight="1">
      <c r="A148" s="6" t="s">
        <v>16</v>
      </c>
      <c r="B148" s="33">
        <f t="shared" si="16"/>
        <v>0</v>
      </c>
      <c r="C148" s="7" t="s">
        <v>8</v>
      </c>
      <c r="D148" s="39"/>
      <c r="E148" s="34">
        <f t="shared" si="20"/>
        <v>0</v>
      </c>
      <c r="F148" s="2" t="str">
        <f t="shared" si="17"/>
        <v/>
      </c>
      <c r="G148" s="43"/>
      <c r="H148" s="25"/>
      <c r="I148" s="35">
        <f t="shared" si="18"/>
        <v>0</v>
      </c>
      <c r="J148" s="36" t="e">
        <f t="shared" si="19"/>
        <v>#DIV/0!</v>
      </c>
      <c r="K148" s="17"/>
      <c r="M148" s="17"/>
      <c r="N148" s="17"/>
      <c r="O148" s="17"/>
    </row>
    <row r="149" spans="1:15" ht="17.850000000000001" customHeight="1">
      <c r="A149" s="6" t="s">
        <v>16</v>
      </c>
      <c r="B149" s="33">
        <f t="shared" si="16"/>
        <v>0</v>
      </c>
      <c r="C149" s="7" t="s">
        <v>8</v>
      </c>
      <c r="D149" s="39"/>
      <c r="E149" s="34">
        <f t="shared" si="20"/>
        <v>0</v>
      </c>
      <c r="F149" s="2" t="str">
        <f t="shared" si="17"/>
        <v/>
      </c>
      <c r="G149" s="43"/>
      <c r="H149" s="25"/>
      <c r="I149" s="35">
        <f t="shared" si="18"/>
        <v>0</v>
      </c>
      <c r="J149" s="36" t="e">
        <f t="shared" si="19"/>
        <v>#DIV/0!</v>
      </c>
      <c r="K149" s="17"/>
      <c r="M149" s="17"/>
      <c r="N149" s="17"/>
      <c r="O149" s="17"/>
    </row>
    <row r="150" spans="1:15" ht="17.850000000000001" customHeight="1">
      <c r="A150" s="6" t="s">
        <v>16</v>
      </c>
      <c r="B150" s="33">
        <f t="shared" si="16"/>
        <v>0</v>
      </c>
      <c r="C150" s="7" t="s">
        <v>8</v>
      </c>
      <c r="D150" s="39"/>
      <c r="E150" s="34">
        <f t="shared" si="20"/>
        <v>0</v>
      </c>
      <c r="F150" s="2" t="str">
        <f t="shared" si="17"/>
        <v/>
      </c>
      <c r="G150" s="43"/>
      <c r="H150" s="25"/>
      <c r="I150" s="35">
        <f t="shared" si="18"/>
        <v>0</v>
      </c>
      <c r="J150" s="36" t="e">
        <f t="shared" si="19"/>
        <v>#DIV/0!</v>
      </c>
      <c r="K150" s="17"/>
      <c r="M150" s="17"/>
      <c r="N150" s="17"/>
      <c r="O150" s="17"/>
    </row>
    <row r="151" spans="1:15" ht="17.850000000000001" customHeight="1">
      <c r="A151" s="6" t="s">
        <v>16</v>
      </c>
      <c r="B151" s="33">
        <f t="shared" si="16"/>
        <v>0</v>
      </c>
      <c r="C151" s="7" t="s">
        <v>8</v>
      </c>
      <c r="D151" s="39"/>
      <c r="E151" s="34">
        <f t="shared" si="20"/>
        <v>0</v>
      </c>
      <c r="F151" s="2" t="str">
        <f t="shared" si="17"/>
        <v/>
      </c>
      <c r="G151" s="43"/>
      <c r="H151" s="25"/>
      <c r="I151" s="35">
        <f t="shared" si="18"/>
        <v>0</v>
      </c>
      <c r="J151" s="36" t="e">
        <f t="shared" si="19"/>
        <v>#DIV/0!</v>
      </c>
      <c r="K151" s="17"/>
      <c r="M151" s="17"/>
      <c r="N151" s="17"/>
      <c r="O151" s="17"/>
    </row>
    <row r="152" spans="1:15" ht="17.850000000000001" customHeight="1">
      <c r="A152" s="6" t="s">
        <v>16</v>
      </c>
      <c r="B152" s="33">
        <f t="shared" si="16"/>
        <v>0</v>
      </c>
      <c r="C152" s="7" t="s">
        <v>8</v>
      </c>
      <c r="D152" s="39"/>
      <c r="E152" s="34">
        <f t="shared" si="20"/>
        <v>0</v>
      </c>
      <c r="F152" s="2" t="str">
        <f t="shared" si="17"/>
        <v/>
      </c>
      <c r="G152" s="43"/>
      <c r="H152" s="25"/>
      <c r="I152" s="35">
        <f t="shared" si="18"/>
        <v>0</v>
      </c>
      <c r="J152" s="36" t="e">
        <f t="shared" si="19"/>
        <v>#DIV/0!</v>
      </c>
      <c r="K152" s="17"/>
      <c r="M152" s="17"/>
      <c r="N152" s="17"/>
      <c r="O152" s="17"/>
    </row>
    <row r="153" spans="1:15" ht="17.850000000000001" customHeight="1">
      <c r="A153" s="6" t="s">
        <v>16</v>
      </c>
      <c r="B153" s="33">
        <f t="shared" si="16"/>
        <v>0</v>
      </c>
      <c r="C153" s="7" t="s">
        <v>8</v>
      </c>
      <c r="D153" s="39"/>
      <c r="E153" s="34">
        <f t="shared" si="20"/>
        <v>0</v>
      </c>
      <c r="F153" s="2" t="str">
        <f t="shared" si="17"/>
        <v/>
      </c>
      <c r="G153" s="43"/>
      <c r="H153" s="25"/>
      <c r="I153" s="35">
        <f t="shared" si="18"/>
        <v>0</v>
      </c>
      <c r="J153" s="36" t="e">
        <f t="shared" si="19"/>
        <v>#DIV/0!</v>
      </c>
      <c r="K153" s="17"/>
      <c r="M153" s="17"/>
      <c r="N153" s="17"/>
      <c r="O153" s="17"/>
    </row>
    <row r="154" spans="1:15" ht="17.850000000000001" customHeight="1">
      <c r="A154" s="6" t="s">
        <v>16</v>
      </c>
      <c r="B154" s="33">
        <f t="shared" si="16"/>
        <v>0</v>
      </c>
      <c r="C154" s="7" t="s">
        <v>8</v>
      </c>
      <c r="D154" s="39"/>
      <c r="E154" s="34">
        <f t="shared" si="20"/>
        <v>0</v>
      </c>
      <c r="F154" s="2" t="str">
        <f t="shared" si="17"/>
        <v/>
      </c>
      <c r="G154" s="43"/>
      <c r="H154" s="25"/>
      <c r="I154" s="35">
        <f t="shared" si="18"/>
        <v>0</v>
      </c>
      <c r="J154" s="36" t="e">
        <f t="shared" si="19"/>
        <v>#DIV/0!</v>
      </c>
      <c r="K154" s="17"/>
      <c r="M154" s="17"/>
      <c r="N154" s="17"/>
      <c r="O154" s="17"/>
    </row>
    <row r="155" spans="1:15" ht="17.850000000000001" customHeight="1">
      <c r="A155" s="6" t="s">
        <v>16</v>
      </c>
      <c r="B155" s="33">
        <f t="shared" si="16"/>
        <v>0</v>
      </c>
      <c r="C155" s="7" t="s">
        <v>8</v>
      </c>
      <c r="D155" s="39"/>
      <c r="E155" s="34">
        <f t="shared" si="20"/>
        <v>0</v>
      </c>
      <c r="F155" s="2" t="str">
        <f t="shared" si="17"/>
        <v/>
      </c>
      <c r="G155" s="43"/>
      <c r="H155" s="25"/>
      <c r="I155" s="35">
        <f t="shared" si="18"/>
        <v>0</v>
      </c>
      <c r="J155" s="36" t="e">
        <f t="shared" si="19"/>
        <v>#DIV/0!</v>
      </c>
      <c r="K155" s="17"/>
      <c r="M155" s="17"/>
      <c r="N155" s="17"/>
      <c r="O155" s="17"/>
    </row>
    <row r="156" spans="1:15" ht="17.850000000000001" customHeight="1">
      <c r="A156" s="6" t="s">
        <v>16</v>
      </c>
      <c r="B156" s="33">
        <f t="shared" si="16"/>
        <v>0</v>
      </c>
      <c r="C156" s="7" t="s">
        <v>8</v>
      </c>
      <c r="D156" s="39"/>
      <c r="E156" s="34">
        <f t="shared" si="20"/>
        <v>0</v>
      </c>
      <c r="F156" s="2" t="str">
        <f t="shared" si="17"/>
        <v/>
      </c>
      <c r="G156" s="43"/>
      <c r="H156" s="25"/>
      <c r="I156" s="35">
        <f t="shared" si="18"/>
        <v>0</v>
      </c>
      <c r="J156" s="36" t="e">
        <f t="shared" si="19"/>
        <v>#DIV/0!</v>
      </c>
      <c r="K156" s="17"/>
      <c r="M156" s="17"/>
      <c r="N156" s="17"/>
      <c r="O156" s="17"/>
    </row>
    <row r="157" spans="1:15" ht="17.850000000000001" customHeight="1">
      <c r="A157" s="6" t="s">
        <v>16</v>
      </c>
      <c r="B157" s="33">
        <f t="shared" si="16"/>
        <v>0</v>
      </c>
      <c r="C157" s="7" t="s">
        <v>8</v>
      </c>
      <c r="D157" s="39"/>
      <c r="E157" s="34">
        <f t="shared" si="20"/>
        <v>0</v>
      </c>
      <c r="F157" s="2" t="str">
        <f t="shared" si="17"/>
        <v/>
      </c>
      <c r="G157" s="43"/>
      <c r="H157" s="25"/>
      <c r="I157" s="35">
        <f t="shared" si="18"/>
        <v>0</v>
      </c>
      <c r="J157" s="36" t="e">
        <f t="shared" si="19"/>
        <v>#DIV/0!</v>
      </c>
      <c r="K157" s="17"/>
      <c r="M157" s="17"/>
      <c r="N157" s="17"/>
      <c r="O157" s="17"/>
    </row>
    <row r="158" spans="1:15" ht="17.850000000000001" customHeight="1">
      <c r="A158" s="6" t="s">
        <v>16</v>
      </c>
      <c r="B158" s="33">
        <f t="shared" si="16"/>
        <v>0</v>
      </c>
      <c r="C158" s="7" t="s">
        <v>8</v>
      </c>
      <c r="D158" s="39"/>
      <c r="E158" s="34">
        <f t="shared" si="20"/>
        <v>0</v>
      </c>
      <c r="F158" s="2" t="str">
        <f t="shared" si="17"/>
        <v/>
      </c>
      <c r="G158" s="43"/>
      <c r="H158" s="25"/>
      <c r="I158" s="35">
        <f t="shared" si="18"/>
        <v>0</v>
      </c>
      <c r="J158" s="36" t="e">
        <f t="shared" si="19"/>
        <v>#DIV/0!</v>
      </c>
      <c r="K158" s="17"/>
      <c r="M158" s="17"/>
      <c r="N158" s="17"/>
      <c r="O158" s="17"/>
    </row>
    <row r="159" spans="1:15" ht="17.850000000000001" customHeight="1">
      <c r="A159" s="6" t="s">
        <v>16</v>
      </c>
      <c r="B159" s="33">
        <f t="shared" si="16"/>
        <v>0</v>
      </c>
      <c r="C159" s="7" t="s">
        <v>8</v>
      </c>
      <c r="D159" s="39"/>
      <c r="E159" s="34">
        <f t="shared" si="20"/>
        <v>0</v>
      </c>
      <c r="F159" s="2" t="str">
        <f t="shared" si="17"/>
        <v/>
      </c>
      <c r="G159" s="43"/>
      <c r="H159" s="25"/>
      <c r="I159" s="35">
        <f t="shared" si="18"/>
        <v>0</v>
      </c>
      <c r="J159" s="36" t="e">
        <f t="shared" si="19"/>
        <v>#DIV/0!</v>
      </c>
      <c r="K159" s="17"/>
      <c r="M159" s="17"/>
      <c r="N159" s="17"/>
      <c r="O159" s="17"/>
    </row>
    <row r="160" spans="1:15" ht="17.850000000000001" customHeight="1">
      <c r="A160" s="6" t="s">
        <v>16</v>
      </c>
      <c r="B160" s="33">
        <f t="shared" si="16"/>
        <v>0</v>
      </c>
      <c r="C160" s="7" t="s">
        <v>8</v>
      </c>
      <c r="D160" s="39"/>
      <c r="E160" s="34">
        <f t="shared" si="20"/>
        <v>0</v>
      </c>
      <c r="F160" s="2" t="str">
        <f t="shared" si="17"/>
        <v/>
      </c>
      <c r="G160" s="43"/>
      <c r="H160" s="25"/>
      <c r="I160" s="35">
        <f t="shared" si="18"/>
        <v>0</v>
      </c>
      <c r="J160" s="36" t="e">
        <f t="shared" si="19"/>
        <v>#DIV/0!</v>
      </c>
      <c r="K160" s="17"/>
      <c r="M160" s="17"/>
      <c r="N160" s="17"/>
      <c r="O160" s="17"/>
    </row>
    <row r="161" spans="1:15" ht="17.850000000000001" customHeight="1">
      <c r="A161" s="6" t="s">
        <v>16</v>
      </c>
      <c r="B161" s="33">
        <f t="shared" si="16"/>
        <v>0</v>
      </c>
      <c r="C161" s="7" t="s">
        <v>8</v>
      </c>
      <c r="D161" s="39"/>
      <c r="E161" s="34">
        <f t="shared" si="20"/>
        <v>0</v>
      </c>
      <c r="F161" s="2" t="str">
        <f t="shared" si="17"/>
        <v/>
      </c>
      <c r="G161" s="43"/>
      <c r="H161" s="25"/>
      <c r="I161" s="35">
        <f t="shared" si="18"/>
        <v>0</v>
      </c>
      <c r="J161" s="36" t="e">
        <f t="shared" si="19"/>
        <v>#DIV/0!</v>
      </c>
      <c r="K161" s="17"/>
      <c r="M161" s="17"/>
      <c r="N161" s="17"/>
      <c r="O161" s="17"/>
    </row>
    <row r="162" spans="1:15" ht="17.850000000000001" customHeight="1">
      <c r="A162" s="6" t="s">
        <v>16</v>
      </c>
      <c r="B162" s="33">
        <f t="shared" si="16"/>
        <v>0</v>
      </c>
      <c r="C162" s="7" t="s">
        <v>8</v>
      </c>
      <c r="D162" s="39"/>
      <c r="E162" s="34">
        <f t="shared" si="20"/>
        <v>0</v>
      </c>
      <c r="F162" s="2" t="str">
        <f t="shared" si="17"/>
        <v/>
      </c>
      <c r="G162" s="43"/>
      <c r="H162" s="25"/>
      <c r="I162" s="35">
        <f t="shared" si="18"/>
        <v>0</v>
      </c>
      <c r="J162" s="36" t="e">
        <f t="shared" si="19"/>
        <v>#DIV/0!</v>
      </c>
      <c r="K162" s="17"/>
      <c r="M162" s="17"/>
      <c r="N162" s="17"/>
      <c r="O162" s="17"/>
    </row>
    <row r="163" spans="1:15" ht="17.850000000000001" customHeight="1">
      <c r="A163" s="6" t="s">
        <v>16</v>
      </c>
      <c r="B163" s="33">
        <f t="shared" si="16"/>
        <v>0</v>
      </c>
      <c r="C163" s="7" t="s">
        <v>8</v>
      </c>
      <c r="D163" s="39"/>
      <c r="E163" s="34">
        <f t="shared" si="20"/>
        <v>0</v>
      </c>
      <c r="F163" s="2" t="str">
        <f t="shared" si="17"/>
        <v/>
      </c>
      <c r="G163" s="43"/>
      <c r="H163" s="25"/>
      <c r="I163" s="35">
        <f t="shared" si="18"/>
        <v>0</v>
      </c>
      <c r="J163" s="36" t="e">
        <f t="shared" si="19"/>
        <v>#DIV/0!</v>
      </c>
      <c r="K163" s="17"/>
      <c r="M163" s="17"/>
      <c r="N163" s="17"/>
      <c r="O163" s="17"/>
    </row>
    <row r="164" spans="1:15" ht="17.850000000000001" customHeight="1">
      <c r="A164" s="6" t="s">
        <v>16</v>
      </c>
      <c r="B164" s="33">
        <f t="shared" si="16"/>
        <v>0</v>
      </c>
      <c r="C164" s="7" t="s">
        <v>8</v>
      </c>
      <c r="D164" s="39"/>
      <c r="E164" s="34">
        <f t="shared" si="20"/>
        <v>0</v>
      </c>
      <c r="F164" s="2" t="str">
        <f t="shared" si="17"/>
        <v/>
      </c>
      <c r="G164" s="43"/>
      <c r="H164" s="25"/>
      <c r="I164" s="35">
        <f t="shared" si="18"/>
        <v>0</v>
      </c>
      <c r="J164" s="36" t="e">
        <f t="shared" si="19"/>
        <v>#DIV/0!</v>
      </c>
      <c r="K164" s="17"/>
      <c r="M164" s="17"/>
      <c r="N164" s="17"/>
      <c r="O164" s="17"/>
    </row>
    <row r="165" spans="1:15" ht="17.850000000000001" customHeight="1">
      <c r="A165" s="6" t="s">
        <v>217</v>
      </c>
      <c r="B165" s="33">
        <f t="shared" si="16"/>
        <v>87150</v>
      </c>
      <c r="C165" s="7" t="s">
        <v>8</v>
      </c>
      <c r="D165" s="39"/>
      <c r="E165" s="34">
        <f t="shared" si="20"/>
        <v>0</v>
      </c>
      <c r="F165" s="2" t="str">
        <f t="shared" si="17"/>
        <v/>
      </c>
      <c r="G165" s="43"/>
      <c r="H165" s="25">
        <f>ROUNDUP((2700*4+19600+30000),-3)</f>
        <v>61000</v>
      </c>
      <c r="I165" s="35">
        <f t="shared" si="18"/>
        <v>0</v>
      </c>
      <c r="J165" s="36" t="e">
        <f t="shared" si="19"/>
        <v>#DIV/0!</v>
      </c>
      <c r="K165" s="17" t="s">
        <v>216</v>
      </c>
      <c r="M165" s="17"/>
      <c r="N165" s="17"/>
      <c r="O165" s="17"/>
    </row>
    <row r="166" spans="1:15" ht="17.850000000000001" customHeight="1">
      <c r="A166" s="6" t="s">
        <v>218</v>
      </c>
      <c r="B166" s="33">
        <f t="shared" si="16"/>
        <v>80000</v>
      </c>
      <c r="C166" s="7" t="s">
        <v>8</v>
      </c>
      <c r="D166" s="39"/>
      <c r="E166" s="34">
        <f t="shared" si="20"/>
        <v>0</v>
      </c>
      <c r="F166" s="2" t="str">
        <f t="shared" si="17"/>
        <v/>
      </c>
      <c r="G166" s="43"/>
      <c r="H166" s="25">
        <f>ROUNDUP((40000+16000),-3)</f>
        <v>56000</v>
      </c>
      <c r="I166" s="35">
        <f t="shared" si="18"/>
        <v>0</v>
      </c>
      <c r="J166" s="36" t="e">
        <f t="shared" si="19"/>
        <v>#DIV/0!</v>
      </c>
      <c r="K166" s="17" t="s">
        <v>219</v>
      </c>
      <c r="M166" s="17"/>
      <c r="N166" s="17"/>
      <c r="O166" s="17"/>
    </row>
    <row r="167" spans="1:15" ht="17.850000000000001" customHeight="1">
      <c r="A167" s="6" t="s">
        <v>188</v>
      </c>
      <c r="B167" s="33">
        <f t="shared" si="16"/>
        <v>0</v>
      </c>
      <c r="C167" s="7" t="s">
        <v>8</v>
      </c>
      <c r="D167" s="39"/>
      <c r="E167" s="34">
        <f t="shared" si="20"/>
        <v>0</v>
      </c>
      <c r="F167" s="2" t="str">
        <f t="shared" si="17"/>
        <v/>
      </c>
      <c r="G167" s="43"/>
      <c r="H167" s="25"/>
      <c r="I167" s="35">
        <f t="shared" si="18"/>
        <v>0</v>
      </c>
      <c r="J167" s="36" t="e">
        <f t="shared" si="19"/>
        <v>#DIV/0!</v>
      </c>
      <c r="K167" s="17"/>
      <c r="M167" s="17"/>
      <c r="N167" s="17"/>
      <c r="O167" s="17"/>
    </row>
    <row r="168" spans="1:15" ht="17.850000000000001" customHeight="1">
      <c r="A168" s="6" t="s">
        <v>187</v>
      </c>
      <c r="B168" s="33">
        <f t="shared" si="16"/>
        <v>0</v>
      </c>
      <c r="C168" s="7" t="s">
        <v>8</v>
      </c>
      <c r="D168" s="39"/>
      <c r="E168" s="34">
        <f t="shared" si="20"/>
        <v>0</v>
      </c>
      <c r="F168" s="2" t="str">
        <f t="shared" si="17"/>
        <v/>
      </c>
      <c r="G168" s="43"/>
      <c r="H168" s="25"/>
      <c r="I168" s="35">
        <f t="shared" si="18"/>
        <v>0</v>
      </c>
      <c r="J168" s="36" t="e">
        <f t="shared" si="19"/>
        <v>#DIV/0!</v>
      </c>
      <c r="K168" s="17"/>
      <c r="M168" s="17"/>
      <c r="N168" s="17"/>
      <c r="O168" s="17"/>
    </row>
    <row r="169" spans="1:15" ht="17.850000000000001" customHeight="1">
      <c r="A169" s="6" t="s">
        <v>16</v>
      </c>
      <c r="B169" s="33">
        <f t="shared" si="16"/>
        <v>0</v>
      </c>
      <c r="C169" s="7" t="s">
        <v>8</v>
      </c>
      <c r="D169" s="39"/>
      <c r="E169" s="34">
        <f t="shared" si="20"/>
        <v>0</v>
      </c>
      <c r="F169" s="2" t="str">
        <f t="shared" si="17"/>
        <v/>
      </c>
      <c r="G169" s="43"/>
      <c r="H169" s="25"/>
      <c r="I169" s="35">
        <f t="shared" si="18"/>
        <v>0</v>
      </c>
      <c r="J169" s="36" t="e">
        <f t="shared" si="19"/>
        <v>#DIV/0!</v>
      </c>
      <c r="K169" s="17"/>
      <c r="M169" s="17"/>
      <c r="N169" s="17"/>
      <c r="O169" s="17"/>
    </row>
    <row r="170" spans="1:15" ht="17.850000000000001" customHeight="1">
      <c r="A170" s="6" t="s">
        <v>16</v>
      </c>
      <c r="B170" s="33">
        <f t="shared" si="16"/>
        <v>0</v>
      </c>
      <c r="C170" s="7" t="s">
        <v>8</v>
      </c>
      <c r="D170" s="39"/>
      <c r="E170" s="34">
        <f t="shared" si="20"/>
        <v>0</v>
      </c>
      <c r="F170" s="2" t="str">
        <f t="shared" si="17"/>
        <v/>
      </c>
      <c r="G170" s="43"/>
      <c r="H170" s="25"/>
      <c r="I170" s="35">
        <f t="shared" si="18"/>
        <v>0</v>
      </c>
      <c r="J170" s="36" t="e">
        <f t="shared" si="19"/>
        <v>#DIV/0!</v>
      </c>
      <c r="K170" s="17"/>
      <c r="M170" s="17"/>
      <c r="N170" s="17"/>
      <c r="O170" s="17"/>
    </row>
    <row r="171" spans="1:15" ht="17.850000000000001" customHeight="1">
      <c r="A171" s="6" t="s">
        <v>16</v>
      </c>
      <c r="B171" s="33">
        <f t="shared" si="16"/>
        <v>0</v>
      </c>
      <c r="C171" s="7" t="s">
        <v>8</v>
      </c>
      <c r="D171" s="39"/>
      <c r="E171" s="34">
        <f t="shared" si="20"/>
        <v>0</v>
      </c>
      <c r="F171" s="2" t="str">
        <f t="shared" si="17"/>
        <v/>
      </c>
      <c r="G171" s="43"/>
      <c r="H171" s="25"/>
      <c r="I171" s="35">
        <f t="shared" si="18"/>
        <v>0</v>
      </c>
      <c r="J171" s="36" t="e">
        <f t="shared" si="19"/>
        <v>#DIV/0!</v>
      </c>
      <c r="K171" s="17"/>
      <c r="M171" s="17"/>
      <c r="N171" s="17"/>
      <c r="O171" s="17"/>
    </row>
    <row r="172" spans="1:15" ht="17.850000000000001" customHeight="1">
      <c r="A172" s="6" t="s">
        <v>16</v>
      </c>
      <c r="B172" s="33">
        <f t="shared" si="16"/>
        <v>0</v>
      </c>
      <c r="C172" s="7" t="s">
        <v>8</v>
      </c>
      <c r="D172" s="39"/>
      <c r="E172" s="34">
        <f t="shared" si="20"/>
        <v>0</v>
      </c>
      <c r="F172" s="2" t="str">
        <f t="shared" si="17"/>
        <v/>
      </c>
      <c r="G172" s="43"/>
      <c r="H172" s="25"/>
      <c r="I172" s="35">
        <f t="shared" si="18"/>
        <v>0</v>
      </c>
      <c r="J172" s="36" t="e">
        <f t="shared" si="19"/>
        <v>#DIV/0!</v>
      </c>
      <c r="K172" s="17"/>
      <c r="M172" s="17"/>
      <c r="N172" s="17"/>
      <c r="O172" s="17"/>
    </row>
    <row r="173" spans="1:15" ht="17.850000000000001" customHeight="1">
      <c r="A173" s="6" t="s">
        <v>16</v>
      </c>
      <c r="B173" s="33">
        <f t="shared" si="16"/>
        <v>0</v>
      </c>
      <c r="C173" s="7" t="s">
        <v>8</v>
      </c>
      <c r="D173" s="39"/>
      <c r="E173" s="34">
        <f t="shared" si="20"/>
        <v>0</v>
      </c>
      <c r="F173" s="2" t="str">
        <f t="shared" si="17"/>
        <v/>
      </c>
      <c r="G173" s="43"/>
      <c r="H173" s="25"/>
      <c r="I173" s="35">
        <f t="shared" si="18"/>
        <v>0</v>
      </c>
      <c r="J173" s="36" t="e">
        <f t="shared" si="19"/>
        <v>#DIV/0!</v>
      </c>
      <c r="K173" s="17"/>
      <c r="M173" s="17"/>
      <c r="N173" s="17"/>
      <c r="O173" s="17"/>
    </row>
    <row r="174" spans="1:15" ht="17.850000000000001" customHeight="1">
      <c r="A174" s="6" t="s">
        <v>16</v>
      </c>
      <c r="B174" s="33">
        <f t="shared" si="16"/>
        <v>0</v>
      </c>
      <c r="C174" s="7" t="s">
        <v>8</v>
      </c>
      <c r="D174" s="39"/>
      <c r="E174" s="34">
        <f t="shared" si="20"/>
        <v>0</v>
      </c>
      <c r="F174" s="2" t="str">
        <f t="shared" si="17"/>
        <v/>
      </c>
      <c r="G174" s="43"/>
      <c r="H174" s="25"/>
      <c r="I174" s="35">
        <f t="shared" si="18"/>
        <v>0</v>
      </c>
      <c r="J174" s="36" t="e">
        <f t="shared" si="19"/>
        <v>#DIV/0!</v>
      </c>
      <c r="K174" s="17"/>
      <c r="M174" s="17"/>
      <c r="N174" s="17"/>
      <c r="O174" s="17"/>
    </row>
    <row r="175" spans="1:15" ht="17.850000000000001" customHeight="1">
      <c r="A175" s="6" t="s">
        <v>16</v>
      </c>
      <c r="B175" s="33">
        <f t="shared" si="16"/>
        <v>0</v>
      </c>
      <c r="C175" s="7" t="s">
        <v>8</v>
      </c>
      <c r="D175" s="39"/>
      <c r="E175" s="34">
        <f t="shared" si="20"/>
        <v>0</v>
      </c>
      <c r="F175" s="2" t="str">
        <f t="shared" si="17"/>
        <v/>
      </c>
      <c r="G175" s="43"/>
      <c r="H175" s="25"/>
      <c r="I175" s="35">
        <f t="shared" si="18"/>
        <v>0</v>
      </c>
      <c r="J175" s="36" t="e">
        <f t="shared" si="19"/>
        <v>#DIV/0!</v>
      </c>
      <c r="K175" s="17"/>
      <c r="M175" s="17"/>
      <c r="N175" s="17"/>
      <c r="O175" s="17"/>
    </row>
    <row r="176" spans="1:15" ht="17.850000000000001" customHeight="1">
      <c r="A176" s="6" t="s">
        <v>16</v>
      </c>
      <c r="B176" s="33">
        <f t="shared" si="16"/>
        <v>0</v>
      </c>
      <c r="C176" s="7" t="s">
        <v>8</v>
      </c>
      <c r="D176" s="39"/>
      <c r="E176" s="34">
        <f t="shared" si="20"/>
        <v>0</v>
      </c>
      <c r="F176" s="2" t="str">
        <f t="shared" si="17"/>
        <v/>
      </c>
      <c r="G176" s="42"/>
      <c r="H176" s="25"/>
      <c r="I176" s="35">
        <f t="shared" si="18"/>
        <v>0</v>
      </c>
      <c r="J176" s="36" t="e">
        <f t="shared" si="19"/>
        <v>#DIV/0!</v>
      </c>
      <c r="K176" s="17"/>
      <c r="M176" s="17"/>
      <c r="N176" s="17"/>
      <c r="O176" s="17"/>
    </row>
    <row r="177" spans="1:15" ht="17.850000000000001" customHeight="1">
      <c r="A177" s="6" t="s">
        <v>16</v>
      </c>
      <c r="B177" s="33">
        <f t="shared" si="16"/>
        <v>0</v>
      </c>
      <c r="C177" s="7" t="s">
        <v>8</v>
      </c>
      <c r="D177" s="39"/>
      <c r="E177" s="34">
        <f t="shared" si="20"/>
        <v>0</v>
      </c>
      <c r="F177" s="2" t="str">
        <f t="shared" si="17"/>
        <v/>
      </c>
      <c r="G177" s="42"/>
      <c r="H177" s="25"/>
      <c r="I177" s="35">
        <f t="shared" si="18"/>
        <v>0</v>
      </c>
      <c r="J177" s="36" t="e">
        <f t="shared" si="19"/>
        <v>#DIV/0!</v>
      </c>
      <c r="K177" s="17"/>
      <c r="M177" s="17"/>
      <c r="N177" s="17"/>
      <c r="O177" s="17"/>
    </row>
    <row r="178" spans="1:15" ht="17.850000000000001" customHeight="1">
      <c r="A178" s="6" t="s">
        <v>16</v>
      </c>
      <c r="B178" s="33">
        <f t="shared" si="16"/>
        <v>0</v>
      </c>
      <c r="C178" s="7" t="s">
        <v>8</v>
      </c>
      <c r="D178" s="39"/>
      <c r="E178" s="34">
        <f t="shared" si="20"/>
        <v>0</v>
      </c>
      <c r="F178" s="2" t="str">
        <f t="shared" si="17"/>
        <v/>
      </c>
      <c r="G178" s="43"/>
      <c r="H178" s="25"/>
      <c r="I178" s="35">
        <f t="shared" si="18"/>
        <v>0</v>
      </c>
      <c r="J178" s="36" t="e">
        <f t="shared" si="19"/>
        <v>#DIV/0!</v>
      </c>
      <c r="K178" s="17"/>
      <c r="M178" s="17"/>
      <c r="N178" s="17"/>
      <c r="O178" s="17"/>
    </row>
    <row r="179" spans="1:15" ht="17.850000000000001" customHeight="1">
      <c r="A179" s="6" t="s">
        <v>16</v>
      </c>
      <c r="B179" s="33">
        <f t="shared" si="16"/>
        <v>0</v>
      </c>
      <c r="C179" s="7" t="s">
        <v>8</v>
      </c>
      <c r="D179" s="39"/>
      <c r="E179" s="34">
        <f t="shared" si="20"/>
        <v>0</v>
      </c>
      <c r="F179" s="2" t="str">
        <f t="shared" si="17"/>
        <v/>
      </c>
      <c r="G179" s="42"/>
      <c r="H179" s="25"/>
      <c r="I179" s="35">
        <f t="shared" si="18"/>
        <v>0</v>
      </c>
      <c r="J179" s="36" t="e">
        <f t="shared" si="19"/>
        <v>#DIV/0!</v>
      </c>
      <c r="K179" s="17"/>
      <c r="M179" s="17"/>
      <c r="N179" s="17"/>
      <c r="O179" s="17"/>
    </row>
    <row r="180" spans="1:15" ht="17.850000000000001" customHeight="1">
      <c r="A180" s="6" t="s">
        <v>16</v>
      </c>
      <c r="B180" s="33">
        <f t="shared" si="16"/>
        <v>0</v>
      </c>
      <c r="C180" s="7" t="s">
        <v>8</v>
      </c>
      <c r="D180" s="39"/>
      <c r="E180" s="34">
        <f t="shared" si="20"/>
        <v>0</v>
      </c>
      <c r="F180" s="2" t="str">
        <f t="shared" si="17"/>
        <v/>
      </c>
      <c r="G180" s="43"/>
      <c r="H180" s="25"/>
      <c r="I180" s="35">
        <f t="shared" si="18"/>
        <v>0</v>
      </c>
      <c r="J180" s="36" t="e">
        <f t="shared" si="19"/>
        <v>#DIV/0!</v>
      </c>
      <c r="K180" s="17"/>
      <c r="M180" s="17"/>
      <c r="N180" s="17"/>
      <c r="O180" s="17"/>
    </row>
    <row r="181" spans="1:15" ht="17.850000000000001" customHeight="1">
      <c r="A181" s="6" t="s">
        <v>16</v>
      </c>
      <c r="B181" s="33">
        <f t="shared" si="16"/>
        <v>0</v>
      </c>
      <c r="C181" s="7" t="s">
        <v>8</v>
      </c>
      <c r="D181" s="39"/>
      <c r="E181" s="34">
        <f t="shared" si="20"/>
        <v>0</v>
      </c>
      <c r="F181" s="2" t="str">
        <f t="shared" si="17"/>
        <v/>
      </c>
      <c r="G181" s="42"/>
      <c r="H181" s="25"/>
      <c r="I181" s="35">
        <f t="shared" si="18"/>
        <v>0</v>
      </c>
      <c r="J181" s="36" t="e">
        <f t="shared" si="19"/>
        <v>#DIV/0!</v>
      </c>
      <c r="K181" s="17"/>
      <c r="M181" s="17"/>
      <c r="N181" s="17"/>
      <c r="O181" s="17"/>
    </row>
    <row r="182" spans="1:15" ht="17.850000000000001" customHeight="1">
      <c r="A182" s="6" t="s">
        <v>16</v>
      </c>
      <c r="B182" s="33">
        <f t="shared" si="16"/>
        <v>0</v>
      </c>
      <c r="C182" s="7" t="s">
        <v>8</v>
      </c>
      <c r="D182" s="39"/>
      <c r="E182" s="34">
        <f t="shared" si="20"/>
        <v>0</v>
      </c>
      <c r="F182" s="2" t="str">
        <f t="shared" si="17"/>
        <v/>
      </c>
      <c r="G182" s="43"/>
      <c r="H182" s="25"/>
      <c r="I182" s="35">
        <f t="shared" si="18"/>
        <v>0</v>
      </c>
      <c r="J182" s="36" t="e">
        <f t="shared" si="19"/>
        <v>#DIV/0!</v>
      </c>
      <c r="K182" s="17"/>
      <c r="M182" s="17"/>
      <c r="N182" s="17"/>
      <c r="O182" s="17"/>
    </row>
    <row r="183" spans="1:15" ht="17.850000000000001" customHeight="1">
      <c r="A183" s="6" t="s">
        <v>16</v>
      </c>
      <c r="B183" s="33">
        <f t="shared" si="16"/>
        <v>0</v>
      </c>
      <c r="C183" s="7" t="s">
        <v>8</v>
      </c>
      <c r="D183" s="39"/>
      <c r="E183" s="34">
        <f t="shared" si="20"/>
        <v>0</v>
      </c>
      <c r="F183" s="2" t="str">
        <f t="shared" si="17"/>
        <v/>
      </c>
      <c r="G183" s="43"/>
      <c r="H183" s="25"/>
      <c r="I183" s="35">
        <f t="shared" si="18"/>
        <v>0</v>
      </c>
      <c r="J183" s="36" t="e">
        <f t="shared" si="19"/>
        <v>#DIV/0!</v>
      </c>
      <c r="K183" s="17"/>
      <c r="M183" s="17"/>
      <c r="N183" s="17"/>
      <c r="O183" s="17"/>
    </row>
    <row r="184" spans="1:15" ht="17.850000000000001" customHeight="1">
      <c r="A184" s="6" t="s">
        <v>16</v>
      </c>
      <c r="B184" s="33">
        <f t="shared" si="16"/>
        <v>0</v>
      </c>
      <c r="C184" s="7" t="s">
        <v>8</v>
      </c>
      <c r="D184" s="39"/>
      <c r="E184" s="34">
        <f t="shared" si="20"/>
        <v>0</v>
      </c>
      <c r="F184" s="2" t="str">
        <f t="shared" si="17"/>
        <v/>
      </c>
      <c r="G184" s="43"/>
      <c r="H184" s="25"/>
      <c r="I184" s="35">
        <f t="shared" si="18"/>
        <v>0</v>
      </c>
      <c r="J184" s="36" t="e">
        <f t="shared" si="19"/>
        <v>#DIV/0!</v>
      </c>
      <c r="K184" s="17"/>
      <c r="M184" s="17"/>
      <c r="N184" s="17"/>
      <c r="O184" s="17"/>
    </row>
    <row r="185" spans="1:15" ht="17.850000000000001" customHeight="1">
      <c r="A185" s="6" t="s">
        <v>16</v>
      </c>
      <c r="B185" s="33">
        <f t="shared" si="16"/>
        <v>0</v>
      </c>
      <c r="C185" s="7" t="s">
        <v>8</v>
      </c>
      <c r="D185" s="39"/>
      <c r="E185" s="34">
        <f t="shared" si="20"/>
        <v>0</v>
      </c>
      <c r="F185" s="2" t="str">
        <f t="shared" si="17"/>
        <v/>
      </c>
      <c r="G185" s="43"/>
      <c r="H185" s="25"/>
      <c r="I185" s="35">
        <f t="shared" si="18"/>
        <v>0</v>
      </c>
      <c r="J185" s="36" t="e">
        <f t="shared" si="19"/>
        <v>#DIV/0!</v>
      </c>
      <c r="K185" s="17"/>
      <c r="M185" s="17"/>
      <c r="N185" s="17"/>
      <c r="O185" s="17"/>
    </row>
    <row r="186" spans="1:15" ht="17.850000000000001" customHeight="1">
      <c r="A186" s="6" t="s">
        <v>16</v>
      </c>
      <c r="B186" s="33">
        <f t="shared" si="16"/>
        <v>0</v>
      </c>
      <c r="C186" s="7" t="s">
        <v>8</v>
      </c>
      <c r="D186" s="39"/>
      <c r="E186" s="34">
        <f t="shared" si="20"/>
        <v>0</v>
      </c>
      <c r="F186" s="2" t="str">
        <f t="shared" si="17"/>
        <v/>
      </c>
      <c r="G186" s="42"/>
      <c r="H186" s="25"/>
      <c r="I186" s="35">
        <f t="shared" si="18"/>
        <v>0</v>
      </c>
      <c r="J186" s="36" t="e">
        <f t="shared" si="19"/>
        <v>#DIV/0!</v>
      </c>
      <c r="K186" s="17"/>
      <c r="M186" s="17"/>
      <c r="N186" s="17"/>
      <c r="O186" s="17"/>
    </row>
    <row r="187" spans="1:15" ht="17.850000000000001" customHeight="1">
      <c r="A187" s="6" t="s">
        <v>16</v>
      </c>
      <c r="B187" s="33">
        <f t="shared" si="16"/>
        <v>0</v>
      </c>
      <c r="C187" s="7" t="s">
        <v>8</v>
      </c>
      <c r="D187" s="39"/>
      <c r="E187" s="34">
        <f t="shared" si="20"/>
        <v>0</v>
      </c>
      <c r="F187" s="2" t="str">
        <f t="shared" si="17"/>
        <v/>
      </c>
      <c r="G187" s="42"/>
      <c r="H187" s="25"/>
      <c r="I187" s="35">
        <f t="shared" si="18"/>
        <v>0</v>
      </c>
      <c r="J187" s="36" t="e">
        <f t="shared" si="19"/>
        <v>#DIV/0!</v>
      </c>
      <c r="K187" s="17"/>
      <c r="M187" s="17"/>
      <c r="N187" s="17"/>
      <c r="O187" s="17"/>
    </row>
    <row r="188" spans="1:15" ht="17.850000000000001" customHeight="1">
      <c r="A188" s="6" t="s">
        <v>16</v>
      </c>
      <c r="B188" s="33">
        <f t="shared" si="16"/>
        <v>0</v>
      </c>
      <c r="C188" s="7" t="s">
        <v>8</v>
      </c>
      <c r="D188" s="39"/>
      <c r="E188" s="34">
        <f t="shared" si="20"/>
        <v>0</v>
      </c>
      <c r="F188" s="2" t="str">
        <f t="shared" si="17"/>
        <v/>
      </c>
      <c r="G188" s="43"/>
      <c r="H188" s="25"/>
      <c r="I188" s="35">
        <f t="shared" si="18"/>
        <v>0</v>
      </c>
      <c r="J188" s="36" t="e">
        <f t="shared" si="19"/>
        <v>#DIV/0!</v>
      </c>
      <c r="K188" s="17"/>
      <c r="M188" s="17"/>
      <c r="N188" s="17"/>
      <c r="O188" s="17"/>
    </row>
    <row r="189" spans="1:15" ht="17.850000000000001" customHeight="1">
      <c r="A189" s="6" t="s">
        <v>16</v>
      </c>
      <c r="B189" s="33">
        <f t="shared" si="16"/>
        <v>0</v>
      </c>
      <c r="C189" s="7" t="s">
        <v>8</v>
      </c>
      <c r="D189" s="39"/>
      <c r="E189" s="34">
        <f t="shared" si="20"/>
        <v>0</v>
      </c>
      <c r="F189" s="2" t="str">
        <f t="shared" si="17"/>
        <v/>
      </c>
      <c r="G189" s="43"/>
      <c r="H189" s="25"/>
      <c r="I189" s="35">
        <f t="shared" si="18"/>
        <v>0</v>
      </c>
      <c r="J189" s="36" t="e">
        <f t="shared" si="19"/>
        <v>#DIV/0!</v>
      </c>
      <c r="K189" s="17"/>
      <c r="M189" s="17"/>
      <c r="N189" s="17"/>
      <c r="O189" s="17"/>
    </row>
    <row r="190" spans="1:15" ht="17.850000000000001" customHeight="1">
      <c r="A190" s="6" t="s">
        <v>16</v>
      </c>
      <c r="B190" s="33">
        <f t="shared" si="16"/>
        <v>0</v>
      </c>
      <c r="C190" s="7" t="s">
        <v>8</v>
      </c>
      <c r="D190" s="39"/>
      <c r="E190" s="34">
        <f t="shared" si="20"/>
        <v>0</v>
      </c>
      <c r="F190" s="2" t="str">
        <f t="shared" si="17"/>
        <v/>
      </c>
      <c r="G190" s="43"/>
      <c r="H190" s="25"/>
      <c r="I190" s="35">
        <f t="shared" si="18"/>
        <v>0</v>
      </c>
      <c r="J190" s="36" t="e">
        <f t="shared" si="19"/>
        <v>#DIV/0!</v>
      </c>
      <c r="K190" s="17"/>
      <c r="M190" s="17"/>
      <c r="N190" s="17"/>
      <c r="O190" s="17"/>
    </row>
    <row r="191" spans="1:15" ht="17.850000000000001" customHeight="1">
      <c r="A191" s="6" t="s">
        <v>16</v>
      </c>
      <c r="B191" s="33">
        <f t="shared" si="16"/>
        <v>0</v>
      </c>
      <c r="C191" s="7" t="s">
        <v>8</v>
      </c>
      <c r="D191" s="39"/>
      <c r="E191" s="34">
        <f t="shared" si="20"/>
        <v>0</v>
      </c>
      <c r="F191" s="2" t="str">
        <f t="shared" si="17"/>
        <v/>
      </c>
      <c r="G191" s="42"/>
      <c r="H191" s="25"/>
      <c r="I191" s="35">
        <f t="shared" si="18"/>
        <v>0</v>
      </c>
      <c r="J191" s="36" t="e">
        <f t="shared" si="19"/>
        <v>#DIV/0!</v>
      </c>
      <c r="K191" s="17"/>
      <c r="M191" s="17"/>
      <c r="N191" s="17"/>
      <c r="O191" s="17"/>
    </row>
    <row r="192" spans="1:15" ht="17.850000000000001" customHeight="1">
      <c r="A192" s="6" t="s">
        <v>16</v>
      </c>
      <c r="B192" s="33">
        <f t="shared" si="16"/>
        <v>0</v>
      </c>
      <c r="C192" s="7" t="s">
        <v>8</v>
      </c>
      <c r="D192" s="39"/>
      <c r="E192" s="34">
        <f t="shared" si="20"/>
        <v>0</v>
      </c>
      <c r="F192" s="2" t="str">
        <f t="shared" si="17"/>
        <v/>
      </c>
      <c r="G192" s="42"/>
      <c r="H192" s="25"/>
      <c r="I192" s="35">
        <f t="shared" si="18"/>
        <v>0</v>
      </c>
      <c r="J192" s="36" t="e">
        <f t="shared" si="19"/>
        <v>#DIV/0!</v>
      </c>
      <c r="K192" s="17"/>
      <c r="M192" s="17"/>
      <c r="N192" s="17"/>
      <c r="O192" s="17"/>
    </row>
    <row r="193" spans="1:15" ht="17.850000000000001" customHeight="1">
      <c r="A193" s="6" t="s">
        <v>16</v>
      </c>
      <c r="B193" s="33">
        <f t="shared" si="16"/>
        <v>0</v>
      </c>
      <c r="C193" s="7" t="s">
        <v>8</v>
      </c>
      <c r="D193" s="39"/>
      <c r="E193" s="34">
        <f t="shared" si="20"/>
        <v>0</v>
      </c>
      <c r="F193" s="2" t="str">
        <f t="shared" si="17"/>
        <v/>
      </c>
      <c r="G193" s="42"/>
      <c r="H193" s="25"/>
      <c r="I193" s="35">
        <f t="shared" si="18"/>
        <v>0</v>
      </c>
      <c r="J193" s="36" t="e">
        <f t="shared" si="19"/>
        <v>#DIV/0!</v>
      </c>
      <c r="K193" s="17"/>
      <c r="M193" s="17"/>
      <c r="N193" s="17"/>
      <c r="O193" s="17"/>
    </row>
    <row r="194" spans="1:15" ht="17.850000000000001" customHeight="1">
      <c r="A194" s="6" t="s">
        <v>16</v>
      </c>
      <c r="B194" s="33">
        <f t="shared" si="16"/>
        <v>0</v>
      </c>
      <c r="C194" s="7" t="s">
        <v>8</v>
      </c>
      <c r="D194" s="39"/>
      <c r="E194" s="34">
        <f t="shared" si="20"/>
        <v>0</v>
      </c>
      <c r="F194" s="2" t="str">
        <f t="shared" si="17"/>
        <v/>
      </c>
      <c r="G194" s="42"/>
      <c r="H194" s="25"/>
      <c r="I194" s="35">
        <f t="shared" si="18"/>
        <v>0</v>
      </c>
      <c r="J194" s="36" t="e">
        <f t="shared" si="19"/>
        <v>#DIV/0!</v>
      </c>
      <c r="K194" s="17"/>
      <c r="M194" s="17"/>
      <c r="N194" s="17"/>
      <c r="O194" s="17"/>
    </row>
    <row r="195" spans="1:15" ht="17.850000000000001" customHeight="1">
      <c r="A195" s="6" t="s">
        <v>16</v>
      </c>
      <c r="B195" s="33">
        <f t="shared" si="16"/>
        <v>0</v>
      </c>
      <c r="C195" s="7" t="s">
        <v>8</v>
      </c>
      <c r="D195" s="39"/>
      <c r="E195" s="34">
        <f t="shared" si="20"/>
        <v>0</v>
      </c>
      <c r="F195" s="2" t="str">
        <f t="shared" si="17"/>
        <v/>
      </c>
      <c r="G195" s="42"/>
      <c r="H195" s="25"/>
      <c r="I195" s="35">
        <f t="shared" si="18"/>
        <v>0</v>
      </c>
      <c r="J195" s="36" t="e">
        <f t="shared" si="19"/>
        <v>#DIV/0!</v>
      </c>
      <c r="K195" s="17"/>
      <c r="M195" s="17"/>
      <c r="N195" s="17"/>
      <c r="O195" s="17"/>
    </row>
    <row r="196" spans="1:15" ht="17.850000000000001" customHeight="1">
      <c r="A196" s="6" t="s">
        <v>16</v>
      </c>
      <c r="B196" s="33">
        <f t="shared" ref="B196:B234" si="21">ROUNDUP(H196/0.7,-1)</f>
        <v>0</v>
      </c>
      <c r="C196" s="7" t="s">
        <v>8</v>
      </c>
      <c r="D196" s="39"/>
      <c r="E196" s="34">
        <f t="shared" si="20"/>
        <v>0</v>
      </c>
      <c r="F196" s="2" t="str">
        <f t="shared" ref="F196:F234" si="22">IF(D196&gt;0,ROW(),"")</f>
        <v/>
      </c>
      <c r="G196" s="40"/>
      <c r="H196" s="25"/>
      <c r="I196" s="35">
        <f t="shared" si="18"/>
        <v>0</v>
      </c>
      <c r="J196" s="36" t="e">
        <f t="shared" si="19"/>
        <v>#DIV/0!</v>
      </c>
      <c r="K196" s="17"/>
      <c r="M196" s="17"/>
      <c r="N196" s="17"/>
      <c r="O196" s="17"/>
    </row>
    <row r="197" spans="1:15" ht="17.850000000000001" customHeight="1">
      <c r="A197" s="6" t="s">
        <v>16</v>
      </c>
      <c r="B197" s="33">
        <f t="shared" si="21"/>
        <v>0</v>
      </c>
      <c r="C197" s="7" t="s">
        <v>8</v>
      </c>
      <c r="D197" s="39"/>
      <c r="E197" s="34">
        <f t="shared" si="20"/>
        <v>0</v>
      </c>
      <c r="F197" s="2" t="str">
        <f t="shared" si="22"/>
        <v/>
      </c>
      <c r="G197" s="40"/>
      <c r="H197" s="25"/>
      <c r="I197" s="35">
        <f t="shared" si="18"/>
        <v>0</v>
      </c>
      <c r="J197" s="36" t="e">
        <f t="shared" si="19"/>
        <v>#DIV/0!</v>
      </c>
      <c r="K197" s="17"/>
      <c r="M197" s="17"/>
      <c r="N197" s="17"/>
      <c r="O197" s="17"/>
    </row>
    <row r="198" spans="1:15" ht="17.850000000000001" customHeight="1">
      <c r="A198" s="6" t="s">
        <v>16</v>
      </c>
      <c r="B198" s="33">
        <f t="shared" si="21"/>
        <v>0</v>
      </c>
      <c r="C198" s="7" t="s">
        <v>8</v>
      </c>
      <c r="D198" s="39"/>
      <c r="E198" s="34">
        <f t="shared" si="20"/>
        <v>0</v>
      </c>
      <c r="F198" s="2" t="str">
        <f t="shared" si="22"/>
        <v/>
      </c>
      <c r="G198" s="40"/>
      <c r="H198" s="25"/>
      <c r="I198" s="35">
        <f t="shared" si="18"/>
        <v>0</v>
      </c>
      <c r="J198" s="36" t="e">
        <f t="shared" si="19"/>
        <v>#DIV/0!</v>
      </c>
      <c r="K198" s="17"/>
      <c r="M198" s="17"/>
      <c r="N198" s="17"/>
      <c r="O198" s="17"/>
    </row>
    <row r="199" spans="1:15" ht="17.850000000000001" customHeight="1">
      <c r="A199" s="6" t="s">
        <v>16</v>
      </c>
      <c r="B199" s="33">
        <f t="shared" si="21"/>
        <v>0</v>
      </c>
      <c r="C199" s="7" t="s">
        <v>8</v>
      </c>
      <c r="D199" s="39"/>
      <c r="E199" s="34">
        <f t="shared" si="20"/>
        <v>0</v>
      </c>
      <c r="F199" s="2" t="str">
        <f t="shared" si="22"/>
        <v/>
      </c>
      <c r="G199" s="40"/>
      <c r="H199" s="25"/>
      <c r="I199" s="35">
        <f t="shared" ref="I199:I234" si="23">H199*D199</f>
        <v>0</v>
      </c>
      <c r="J199" s="36" t="e">
        <f t="shared" ref="J199:J234" si="24">1-I199/E199</f>
        <v>#DIV/0!</v>
      </c>
      <c r="K199" s="17"/>
      <c r="M199" s="17"/>
      <c r="N199" s="17"/>
      <c r="O199" s="17"/>
    </row>
    <row r="200" spans="1:15" ht="17.850000000000001" customHeight="1">
      <c r="A200" s="6" t="s">
        <v>16</v>
      </c>
      <c r="B200" s="33">
        <f t="shared" si="21"/>
        <v>0</v>
      </c>
      <c r="C200" s="7" t="s">
        <v>8</v>
      </c>
      <c r="D200" s="39"/>
      <c r="E200" s="34">
        <f t="shared" si="20"/>
        <v>0</v>
      </c>
      <c r="F200" s="2" t="str">
        <f t="shared" si="22"/>
        <v/>
      </c>
      <c r="G200" s="40"/>
      <c r="H200" s="25"/>
      <c r="I200" s="35">
        <f t="shared" si="23"/>
        <v>0</v>
      </c>
      <c r="J200" s="36" t="e">
        <f t="shared" si="24"/>
        <v>#DIV/0!</v>
      </c>
      <c r="K200" s="17"/>
      <c r="M200" s="17"/>
      <c r="N200" s="17"/>
      <c r="O200" s="17"/>
    </row>
    <row r="201" spans="1:15" ht="17.850000000000001" customHeight="1">
      <c r="A201" s="6" t="s">
        <v>16</v>
      </c>
      <c r="B201" s="33">
        <f t="shared" si="21"/>
        <v>0</v>
      </c>
      <c r="C201" s="7" t="s">
        <v>8</v>
      </c>
      <c r="D201" s="39"/>
      <c r="E201" s="34">
        <f t="shared" si="20"/>
        <v>0</v>
      </c>
      <c r="F201" s="2" t="str">
        <f t="shared" si="22"/>
        <v/>
      </c>
      <c r="G201" s="40"/>
      <c r="H201" s="25"/>
      <c r="I201" s="35">
        <f t="shared" si="23"/>
        <v>0</v>
      </c>
      <c r="J201" s="36" t="e">
        <f t="shared" si="24"/>
        <v>#DIV/0!</v>
      </c>
      <c r="K201" s="17"/>
      <c r="M201" s="17"/>
      <c r="N201" s="17"/>
      <c r="O201" s="17"/>
    </row>
    <row r="202" spans="1:15" ht="17.850000000000001" customHeight="1">
      <c r="A202" s="6" t="s">
        <v>16</v>
      </c>
      <c r="B202" s="33">
        <f t="shared" si="21"/>
        <v>0</v>
      </c>
      <c r="C202" s="7" t="s">
        <v>8</v>
      </c>
      <c r="D202" s="39"/>
      <c r="E202" s="34">
        <f t="shared" si="20"/>
        <v>0</v>
      </c>
      <c r="F202" s="2" t="str">
        <f t="shared" si="22"/>
        <v/>
      </c>
      <c r="G202" s="40"/>
      <c r="H202" s="25"/>
      <c r="I202" s="35">
        <f t="shared" si="23"/>
        <v>0</v>
      </c>
      <c r="J202" s="36" t="e">
        <f t="shared" si="24"/>
        <v>#DIV/0!</v>
      </c>
      <c r="K202" s="17"/>
      <c r="M202" s="17"/>
      <c r="N202" s="17"/>
      <c r="O202" s="17"/>
    </row>
    <row r="203" spans="1:15">
      <c r="A203" s="6" t="s">
        <v>16</v>
      </c>
      <c r="B203" s="33">
        <f t="shared" si="21"/>
        <v>0</v>
      </c>
      <c r="C203" s="7" t="s">
        <v>8</v>
      </c>
      <c r="D203" s="39"/>
      <c r="E203" s="34">
        <f t="shared" si="20"/>
        <v>0</v>
      </c>
      <c r="F203" s="2" t="str">
        <f t="shared" si="22"/>
        <v/>
      </c>
      <c r="G203" s="40"/>
      <c r="H203" s="25"/>
      <c r="I203" s="35">
        <f t="shared" si="23"/>
        <v>0</v>
      </c>
      <c r="J203" s="36" t="e">
        <f t="shared" si="24"/>
        <v>#DIV/0!</v>
      </c>
      <c r="K203" s="17"/>
      <c r="M203" s="17"/>
      <c r="N203" s="17"/>
      <c r="O203" s="17"/>
    </row>
    <row r="204" spans="1:15">
      <c r="A204" s="6"/>
      <c r="B204" s="33">
        <f t="shared" si="21"/>
        <v>0</v>
      </c>
      <c r="C204" s="7" t="s">
        <v>8</v>
      </c>
      <c r="D204" s="39"/>
      <c r="E204" s="34">
        <f t="shared" ref="E204:E234" si="25">B204*D204</f>
        <v>0</v>
      </c>
      <c r="F204" s="2" t="str">
        <f t="shared" si="22"/>
        <v/>
      </c>
      <c r="G204" s="40"/>
      <c r="H204" s="25"/>
      <c r="I204" s="35">
        <f t="shared" si="23"/>
        <v>0</v>
      </c>
      <c r="J204" s="36" t="e">
        <f t="shared" si="24"/>
        <v>#DIV/0!</v>
      </c>
      <c r="K204" s="17"/>
      <c r="M204" s="17"/>
      <c r="N204" s="17"/>
      <c r="O204" s="17"/>
    </row>
    <row r="205" spans="1:15">
      <c r="A205" s="6"/>
      <c r="B205" s="33">
        <f t="shared" si="21"/>
        <v>0</v>
      </c>
      <c r="C205" s="7" t="s">
        <v>8</v>
      </c>
      <c r="D205" s="39"/>
      <c r="E205" s="34">
        <f t="shared" si="25"/>
        <v>0</v>
      </c>
      <c r="F205" s="2" t="str">
        <f t="shared" si="22"/>
        <v/>
      </c>
      <c r="G205" s="40"/>
      <c r="H205" s="25"/>
      <c r="I205" s="35">
        <f t="shared" si="23"/>
        <v>0</v>
      </c>
      <c r="J205" s="36" t="e">
        <f t="shared" si="24"/>
        <v>#DIV/0!</v>
      </c>
      <c r="K205" s="17"/>
      <c r="M205" s="17"/>
      <c r="N205" s="17"/>
      <c r="O205" s="17"/>
    </row>
    <row r="206" spans="1:15">
      <c r="A206" s="6"/>
      <c r="B206" s="33">
        <f t="shared" si="21"/>
        <v>0</v>
      </c>
      <c r="C206" s="7" t="s">
        <v>8</v>
      </c>
      <c r="D206" s="39"/>
      <c r="E206" s="34">
        <f t="shared" si="25"/>
        <v>0</v>
      </c>
      <c r="F206" s="2" t="str">
        <f t="shared" si="22"/>
        <v/>
      </c>
      <c r="G206" s="40"/>
      <c r="H206" s="25"/>
      <c r="I206" s="35">
        <f t="shared" si="23"/>
        <v>0</v>
      </c>
      <c r="J206" s="36" t="e">
        <f t="shared" si="24"/>
        <v>#DIV/0!</v>
      </c>
      <c r="K206" s="17"/>
      <c r="M206" s="17"/>
      <c r="N206" s="17"/>
      <c r="O206" s="17"/>
    </row>
    <row r="207" spans="1:15">
      <c r="A207" s="6"/>
      <c r="B207" s="33">
        <f t="shared" si="21"/>
        <v>180290</v>
      </c>
      <c r="C207" s="7" t="s">
        <v>8</v>
      </c>
      <c r="D207" s="39"/>
      <c r="E207" s="34">
        <f t="shared" si="25"/>
        <v>0</v>
      </c>
      <c r="F207" s="2" t="str">
        <f t="shared" si="22"/>
        <v/>
      </c>
      <c r="G207" s="40"/>
      <c r="H207" s="25">
        <f>510700-384500</f>
        <v>126200</v>
      </c>
      <c r="I207" s="35">
        <f t="shared" si="23"/>
        <v>0</v>
      </c>
      <c r="J207" s="36" t="e">
        <f t="shared" si="24"/>
        <v>#DIV/0!</v>
      </c>
      <c r="K207" s="17" t="s">
        <v>96</v>
      </c>
      <c r="M207" s="17"/>
      <c r="N207" s="17"/>
      <c r="O207" s="17"/>
    </row>
    <row r="208" spans="1:15">
      <c r="A208" s="6" t="s">
        <v>189</v>
      </c>
      <c r="B208" s="33">
        <f t="shared" si="21"/>
        <v>72860</v>
      </c>
      <c r="C208" s="7" t="s">
        <v>8</v>
      </c>
      <c r="D208" s="39"/>
      <c r="E208" s="34">
        <f t="shared" si="25"/>
        <v>0</v>
      </c>
      <c r="F208" s="2" t="str">
        <f t="shared" si="22"/>
        <v/>
      </c>
      <c r="G208" s="40"/>
      <c r="H208" s="25">
        <v>51000</v>
      </c>
      <c r="I208" s="35">
        <f t="shared" si="23"/>
        <v>0</v>
      </c>
      <c r="J208" s="36" t="e">
        <f t="shared" si="24"/>
        <v>#DIV/0!</v>
      </c>
      <c r="K208" s="17"/>
      <c r="M208" s="17"/>
      <c r="N208" s="17"/>
      <c r="O208" s="17"/>
    </row>
    <row r="209" spans="1:15">
      <c r="A209" s="6" t="s">
        <v>119</v>
      </c>
      <c r="B209" s="33">
        <f t="shared" si="21"/>
        <v>128430</v>
      </c>
      <c r="C209" s="7" t="s">
        <v>8</v>
      </c>
      <c r="D209" s="39"/>
      <c r="E209" s="34">
        <f t="shared" si="25"/>
        <v>0</v>
      </c>
      <c r="F209" s="2" t="str">
        <f t="shared" si="22"/>
        <v/>
      </c>
      <c r="G209" s="40"/>
      <c r="H209" s="25">
        <v>89900</v>
      </c>
      <c r="I209" s="35">
        <f t="shared" si="23"/>
        <v>0</v>
      </c>
      <c r="J209" s="36" t="e">
        <f t="shared" si="24"/>
        <v>#DIV/0!</v>
      </c>
      <c r="K209" s="17"/>
      <c r="M209" s="17"/>
      <c r="N209" s="17"/>
      <c r="O209" s="17"/>
    </row>
    <row r="210" spans="1:15">
      <c r="A210" s="6"/>
      <c r="B210" s="33">
        <f t="shared" si="21"/>
        <v>0</v>
      </c>
      <c r="C210" s="7" t="s">
        <v>8</v>
      </c>
      <c r="D210" s="39"/>
      <c r="E210" s="34">
        <f t="shared" si="25"/>
        <v>0</v>
      </c>
      <c r="F210" s="2" t="str">
        <f t="shared" si="22"/>
        <v/>
      </c>
      <c r="G210" s="40"/>
      <c r="H210" s="25"/>
      <c r="I210" s="35">
        <f t="shared" si="23"/>
        <v>0</v>
      </c>
      <c r="J210" s="36" t="e">
        <f t="shared" si="24"/>
        <v>#DIV/0!</v>
      </c>
      <c r="K210" s="17"/>
      <c r="M210" s="17"/>
      <c r="N210" s="17"/>
      <c r="O210" s="17"/>
    </row>
    <row r="211" spans="1:15">
      <c r="A211" s="6" t="s">
        <v>95</v>
      </c>
      <c r="B211" s="33">
        <f t="shared" si="21"/>
        <v>24780</v>
      </c>
      <c r="C211" s="7" t="s">
        <v>8</v>
      </c>
      <c r="D211" s="39"/>
      <c r="E211" s="34">
        <f t="shared" si="25"/>
        <v>0</v>
      </c>
      <c r="F211" s="2" t="str">
        <f t="shared" si="22"/>
        <v/>
      </c>
      <c r="G211" s="40"/>
      <c r="H211" s="25">
        <f>(35000+22800)*0.3</f>
        <v>17340</v>
      </c>
      <c r="I211" s="35">
        <f t="shared" si="23"/>
        <v>0</v>
      </c>
      <c r="J211" s="36" t="e">
        <f t="shared" si="24"/>
        <v>#DIV/0!</v>
      </c>
      <c r="K211" s="17" t="s">
        <v>96</v>
      </c>
      <c r="M211" s="17"/>
      <c r="N211" s="17"/>
      <c r="O211" s="17"/>
    </row>
    <row r="212" spans="1:15">
      <c r="A212" s="6" t="s">
        <v>208</v>
      </c>
      <c r="B212" s="33">
        <f t="shared" si="21"/>
        <v>6000</v>
      </c>
      <c r="C212" s="7" t="s">
        <v>108</v>
      </c>
      <c r="D212" s="39"/>
      <c r="E212" s="34">
        <f t="shared" si="25"/>
        <v>0</v>
      </c>
      <c r="F212" s="2" t="str">
        <f t="shared" si="22"/>
        <v/>
      </c>
      <c r="G212" s="40"/>
      <c r="H212" s="25">
        <v>4200</v>
      </c>
      <c r="I212" s="35">
        <f t="shared" si="23"/>
        <v>0</v>
      </c>
      <c r="J212" s="36" t="e">
        <f t="shared" si="24"/>
        <v>#DIV/0!</v>
      </c>
      <c r="K212" s="17"/>
      <c r="M212" s="17"/>
      <c r="N212" s="17"/>
      <c r="O212" s="17"/>
    </row>
    <row r="213" spans="1:15">
      <c r="A213" s="6" t="s">
        <v>209</v>
      </c>
      <c r="B213" s="33">
        <f t="shared" si="21"/>
        <v>3700</v>
      </c>
      <c r="C213" s="7" t="s">
        <v>11</v>
      </c>
      <c r="D213" s="39"/>
      <c r="E213" s="34">
        <f t="shared" si="25"/>
        <v>0</v>
      </c>
      <c r="F213" s="2" t="str">
        <f t="shared" si="22"/>
        <v/>
      </c>
      <c r="G213" s="40"/>
      <c r="H213" s="149">
        <v>2590</v>
      </c>
      <c r="I213" s="35">
        <f t="shared" si="23"/>
        <v>0</v>
      </c>
      <c r="J213" s="36" t="e">
        <f t="shared" si="24"/>
        <v>#DIV/0!</v>
      </c>
      <c r="K213" s="17" t="s">
        <v>96</v>
      </c>
      <c r="M213" s="17" t="s">
        <v>117</v>
      </c>
      <c r="N213" s="17"/>
      <c r="O213" s="17"/>
    </row>
    <row r="214" spans="1:15">
      <c r="A214" s="6" t="s">
        <v>210</v>
      </c>
      <c r="B214" s="33">
        <f t="shared" si="21"/>
        <v>5500</v>
      </c>
      <c r="C214" s="7" t="s">
        <v>11</v>
      </c>
      <c r="D214" s="39"/>
      <c r="E214" s="34">
        <f t="shared" si="25"/>
        <v>0</v>
      </c>
      <c r="F214" s="2" t="str">
        <f t="shared" si="22"/>
        <v/>
      </c>
      <c r="G214" s="40"/>
      <c r="H214" s="149">
        <v>3850</v>
      </c>
      <c r="I214" s="35">
        <f t="shared" si="23"/>
        <v>0</v>
      </c>
      <c r="J214" s="36" t="e">
        <f t="shared" si="24"/>
        <v>#DIV/0!</v>
      </c>
      <c r="K214" s="17" t="s">
        <v>98</v>
      </c>
      <c r="M214" s="17"/>
      <c r="N214" s="17"/>
      <c r="O214" s="17"/>
    </row>
    <row r="215" spans="1:15">
      <c r="A215" s="6" t="s">
        <v>118</v>
      </c>
      <c r="B215" s="33">
        <f t="shared" si="21"/>
        <v>4800</v>
      </c>
      <c r="C215" s="7" t="s">
        <v>108</v>
      </c>
      <c r="D215" s="39"/>
      <c r="E215" s="34">
        <f t="shared" si="25"/>
        <v>0</v>
      </c>
      <c r="F215" s="2" t="str">
        <f t="shared" si="22"/>
        <v/>
      </c>
      <c r="G215" s="40"/>
      <c r="H215" s="149">
        <v>3360</v>
      </c>
      <c r="I215" s="35">
        <f t="shared" si="23"/>
        <v>0</v>
      </c>
      <c r="J215" s="36" t="e">
        <f t="shared" si="24"/>
        <v>#DIV/0!</v>
      </c>
      <c r="K215" s="17" t="s">
        <v>116</v>
      </c>
      <c r="M215" s="17"/>
      <c r="N215" s="17"/>
      <c r="O215" s="17"/>
    </row>
    <row r="216" spans="1:15">
      <c r="A216" s="6" t="s">
        <v>16</v>
      </c>
      <c r="B216" s="33">
        <f t="shared" si="21"/>
        <v>0</v>
      </c>
      <c r="C216" s="7" t="s">
        <v>8</v>
      </c>
      <c r="D216" s="39"/>
      <c r="E216" s="34">
        <f t="shared" si="25"/>
        <v>0</v>
      </c>
      <c r="F216" s="2" t="str">
        <f t="shared" si="22"/>
        <v/>
      </c>
      <c r="G216" s="40"/>
      <c r="H216" s="25"/>
      <c r="I216" s="35">
        <f t="shared" si="23"/>
        <v>0</v>
      </c>
      <c r="J216" s="36" t="e">
        <f t="shared" si="24"/>
        <v>#DIV/0!</v>
      </c>
      <c r="K216" s="17"/>
      <c r="M216" s="17"/>
      <c r="N216" s="17"/>
      <c r="O216" s="17"/>
    </row>
    <row r="217" spans="1:15">
      <c r="A217" s="6" t="s">
        <v>16</v>
      </c>
      <c r="B217" s="33">
        <f t="shared" si="21"/>
        <v>0</v>
      </c>
      <c r="C217" s="7" t="s">
        <v>8</v>
      </c>
      <c r="D217" s="39"/>
      <c r="E217" s="34">
        <f t="shared" si="25"/>
        <v>0</v>
      </c>
      <c r="F217" s="2" t="str">
        <f t="shared" si="22"/>
        <v/>
      </c>
      <c r="G217" s="40"/>
      <c r="H217" s="25"/>
      <c r="I217" s="35">
        <f t="shared" si="23"/>
        <v>0</v>
      </c>
      <c r="J217" s="36" t="e">
        <f t="shared" si="24"/>
        <v>#DIV/0!</v>
      </c>
      <c r="K217" s="17"/>
      <c r="M217" s="17"/>
      <c r="N217" s="17"/>
      <c r="O217" s="17"/>
    </row>
    <row r="218" spans="1:15">
      <c r="A218" s="6" t="s">
        <v>16</v>
      </c>
      <c r="B218" s="33">
        <f t="shared" si="21"/>
        <v>0</v>
      </c>
      <c r="C218" s="7" t="s">
        <v>8</v>
      </c>
      <c r="D218" s="39"/>
      <c r="E218" s="34">
        <f t="shared" si="25"/>
        <v>0</v>
      </c>
      <c r="F218" s="2" t="str">
        <f t="shared" si="22"/>
        <v/>
      </c>
      <c r="G218" s="40"/>
      <c r="H218" s="25"/>
      <c r="I218" s="35">
        <f t="shared" si="23"/>
        <v>0</v>
      </c>
      <c r="J218" s="36" t="e">
        <f t="shared" si="24"/>
        <v>#DIV/0!</v>
      </c>
      <c r="K218" s="17"/>
      <c r="M218" s="17"/>
      <c r="N218" s="17"/>
      <c r="O218" s="17"/>
    </row>
    <row r="219" spans="1:15">
      <c r="A219" s="6" t="s">
        <v>16</v>
      </c>
      <c r="B219" s="33">
        <f t="shared" si="21"/>
        <v>0</v>
      </c>
      <c r="C219" s="7" t="s">
        <v>8</v>
      </c>
      <c r="D219" s="39"/>
      <c r="E219" s="34">
        <f t="shared" si="25"/>
        <v>0</v>
      </c>
      <c r="F219" s="2" t="str">
        <f t="shared" si="22"/>
        <v/>
      </c>
      <c r="G219" s="40"/>
      <c r="H219" s="25"/>
      <c r="I219" s="35">
        <f t="shared" si="23"/>
        <v>0</v>
      </c>
      <c r="J219" s="36" t="e">
        <f t="shared" si="24"/>
        <v>#DIV/0!</v>
      </c>
      <c r="K219" s="17"/>
      <c r="M219" s="17"/>
      <c r="N219" s="17"/>
      <c r="O219" s="17"/>
    </row>
    <row r="220" spans="1:15">
      <c r="A220" s="6" t="s">
        <v>112</v>
      </c>
      <c r="B220" s="33">
        <f t="shared" si="21"/>
        <v>46430</v>
      </c>
      <c r="C220" s="7" t="s">
        <v>8</v>
      </c>
      <c r="D220" s="39"/>
      <c r="E220" s="34">
        <f t="shared" si="25"/>
        <v>0</v>
      </c>
      <c r="F220" s="2" t="str">
        <f t="shared" si="22"/>
        <v/>
      </c>
      <c r="G220" s="40"/>
      <c r="H220" s="25">
        <v>32500</v>
      </c>
      <c r="I220" s="35">
        <f t="shared" si="23"/>
        <v>0</v>
      </c>
      <c r="J220" s="36" t="e">
        <f t="shared" si="24"/>
        <v>#DIV/0!</v>
      </c>
      <c r="K220" s="17"/>
      <c r="M220" s="17"/>
      <c r="N220" s="17"/>
      <c r="O220" s="17"/>
    </row>
    <row r="221" spans="1:15">
      <c r="A221" s="6" t="s">
        <v>16</v>
      </c>
      <c r="B221" s="33">
        <f t="shared" si="21"/>
        <v>0</v>
      </c>
      <c r="C221" s="7" t="s">
        <v>8</v>
      </c>
      <c r="D221" s="39"/>
      <c r="E221" s="34">
        <f t="shared" si="25"/>
        <v>0</v>
      </c>
      <c r="F221" s="2" t="str">
        <f t="shared" si="22"/>
        <v/>
      </c>
      <c r="G221" s="40"/>
      <c r="H221" s="25"/>
      <c r="I221" s="35">
        <f t="shared" si="23"/>
        <v>0</v>
      </c>
      <c r="J221" s="36" t="e">
        <f t="shared" si="24"/>
        <v>#DIV/0!</v>
      </c>
      <c r="K221" s="17"/>
      <c r="M221" s="17"/>
      <c r="N221" s="17"/>
      <c r="O221" s="17"/>
    </row>
    <row r="222" spans="1:15">
      <c r="A222" s="6" t="s">
        <v>120</v>
      </c>
      <c r="B222" s="33">
        <f t="shared" si="21"/>
        <v>0</v>
      </c>
      <c r="C222" s="7" t="s">
        <v>8</v>
      </c>
      <c r="D222" s="39"/>
      <c r="E222" s="34">
        <f t="shared" si="25"/>
        <v>0</v>
      </c>
      <c r="F222" s="2" t="str">
        <f t="shared" si="22"/>
        <v/>
      </c>
      <c r="G222" s="40"/>
      <c r="H222" s="25"/>
      <c r="I222" s="35">
        <f t="shared" si="23"/>
        <v>0</v>
      </c>
      <c r="J222" s="36" t="e">
        <f t="shared" si="24"/>
        <v>#DIV/0!</v>
      </c>
      <c r="K222" s="17"/>
      <c r="M222" s="17"/>
      <c r="N222" s="17"/>
      <c r="O222" s="17"/>
    </row>
    <row r="223" spans="1:15">
      <c r="A223" s="6" t="s">
        <v>126</v>
      </c>
      <c r="B223" s="33">
        <f t="shared" si="21"/>
        <v>46430</v>
      </c>
      <c r="C223" s="7" t="s">
        <v>8</v>
      </c>
      <c r="D223" s="39"/>
      <c r="E223" s="34">
        <f t="shared" si="25"/>
        <v>0</v>
      </c>
      <c r="F223" s="2" t="str">
        <f t="shared" si="22"/>
        <v/>
      </c>
      <c r="G223" s="40"/>
      <c r="H223" s="25">
        <v>32500</v>
      </c>
      <c r="I223" s="35">
        <f t="shared" si="23"/>
        <v>0</v>
      </c>
      <c r="J223" s="36" t="e">
        <f t="shared" si="24"/>
        <v>#DIV/0!</v>
      </c>
      <c r="K223" s="17"/>
      <c r="M223" s="17"/>
      <c r="N223" s="17"/>
      <c r="O223" s="17"/>
    </row>
    <row r="224" spans="1:15">
      <c r="A224" s="6" t="s">
        <v>127</v>
      </c>
      <c r="B224" s="33">
        <f t="shared" si="21"/>
        <v>28580</v>
      </c>
      <c r="C224" s="7" t="s">
        <v>8</v>
      </c>
      <c r="D224" s="39"/>
      <c r="E224" s="34">
        <f t="shared" si="25"/>
        <v>0</v>
      </c>
      <c r="F224" s="2" t="str">
        <f t="shared" si="22"/>
        <v/>
      </c>
      <c r="G224" s="40"/>
      <c r="H224" s="25">
        <v>20000</v>
      </c>
      <c r="I224" s="35">
        <f t="shared" si="23"/>
        <v>0</v>
      </c>
      <c r="J224" s="36" t="e">
        <f t="shared" si="24"/>
        <v>#DIV/0!</v>
      </c>
      <c r="K224" s="17"/>
      <c r="M224" s="17"/>
      <c r="N224" s="17"/>
      <c r="O224" s="17"/>
    </row>
    <row r="225" spans="1:15">
      <c r="A225" s="6" t="s">
        <v>128</v>
      </c>
      <c r="B225" s="33">
        <f t="shared" si="21"/>
        <v>7150</v>
      </c>
      <c r="C225" s="7" t="s">
        <v>8</v>
      </c>
      <c r="D225" s="39"/>
      <c r="E225" s="34">
        <f t="shared" si="25"/>
        <v>0</v>
      </c>
      <c r="F225" s="2" t="str">
        <f t="shared" si="22"/>
        <v/>
      </c>
      <c r="G225" s="40"/>
      <c r="H225" s="25">
        <v>5000</v>
      </c>
      <c r="I225" s="35">
        <f t="shared" si="23"/>
        <v>0</v>
      </c>
      <c r="J225" s="36" t="e">
        <f t="shared" si="24"/>
        <v>#DIV/0!</v>
      </c>
      <c r="K225" s="17"/>
      <c r="M225" s="17"/>
      <c r="N225" s="17"/>
      <c r="O225" s="17"/>
    </row>
    <row r="226" spans="1:15">
      <c r="A226" s="6" t="s">
        <v>129</v>
      </c>
      <c r="B226" s="33">
        <f t="shared" si="21"/>
        <v>30000</v>
      </c>
      <c r="C226" s="7" t="s">
        <v>8</v>
      </c>
      <c r="D226" s="39"/>
      <c r="E226" s="34">
        <f t="shared" si="25"/>
        <v>0</v>
      </c>
      <c r="F226" s="2" t="str">
        <f t="shared" si="22"/>
        <v/>
      </c>
      <c r="G226" s="40"/>
      <c r="H226" s="25">
        <v>21000</v>
      </c>
      <c r="I226" s="35">
        <f t="shared" si="23"/>
        <v>0</v>
      </c>
      <c r="J226" s="36" t="e">
        <f t="shared" si="24"/>
        <v>#DIV/0!</v>
      </c>
      <c r="K226" s="17"/>
      <c r="M226" s="17"/>
      <c r="N226" s="17"/>
      <c r="O226" s="17"/>
    </row>
    <row r="227" spans="1:15">
      <c r="A227" s="6" t="s">
        <v>130</v>
      </c>
      <c r="B227" s="33">
        <f t="shared" si="21"/>
        <v>15000</v>
      </c>
      <c r="C227" s="7" t="s">
        <v>8</v>
      </c>
      <c r="D227" s="39"/>
      <c r="E227" s="34">
        <f t="shared" si="25"/>
        <v>0</v>
      </c>
      <c r="F227" s="2" t="str">
        <f t="shared" si="22"/>
        <v/>
      </c>
      <c r="G227" s="40"/>
      <c r="H227" s="25">
        <v>10500</v>
      </c>
      <c r="I227" s="35">
        <f t="shared" si="23"/>
        <v>0</v>
      </c>
      <c r="J227" s="36" t="e">
        <f t="shared" si="24"/>
        <v>#DIV/0!</v>
      </c>
      <c r="K227" s="17"/>
      <c r="M227" s="17"/>
      <c r="N227" s="17"/>
      <c r="O227" s="17"/>
    </row>
    <row r="228" spans="1:15">
      <c r="A228" s="6" t="s">
        <v>16</v>
      </c>
      <c r="B228" s="33">
        <f t="shared" si="21"/>
        <v>0</v>
      </c>
      <c r="C228" s="7" t="s">
        <v>8</v>
      </c>
      <c r="D228" s="39"/>
      <c r="E228" s="34">
        <f t="shared" si="25"/>
        <v>0</v>
      </c>
      <c r="F228" s="2" t="str">
        <f t="shared" si="22"/>
        <v/>
      </c>
      <c r="G228" s="40"/>
      <c r="H228" s="25"/>
      <c r="I228" s="35">
        <f t="shared" si="23"/>
        <v>0</v>
      </c>
      <c r="J228" s="36" t="e">
        <f t="shared" si="24"/>
        <v>#DIV/0!</v>
      </c>
      <c r="K228" s="17"/>
      <c r="M228" s="17"/>
      <c r="N228" s="17"/>
      <c r="O228" s="17"/>
    </row>
    <row r="229" spans="1:15">
      <c r="A229" s="6" t="s">
        <v>16</v>
      </c>
      <c r="B229" s="33">
        <f t="shared" si="21"/>
        <v>0</v>
      </c>
      <c r="C229" s="7" t="s">
        <v>8</v>
      </c>
      <c r="D229" s="39"/>
      <c r="E229" s="34">
        <f t="shared" si="25"/>
        <v>0</v>
      </c>
      <c r="F229" s="2" t="str">
        <f t="shared" si="22"/>
        <v/>
      </c>
      <c r="G229" s="40"/>
      <c r="H229" s="25"/>
      <c r="I229" s="35">
        <f t="shared" si="23"/>
        <v>0</v>
      </c>
      <c r="J229" s="36" t="e">
        <f t="shared" si="24"/>
        <v>#DIV/0!</v>
      </c>
      <c r="K229" s="17"/>
      <c r="M229" s="17"/>
      <c r="N229" s="17"/>
      <c r="O229" s="17"/>
    </row>
    <row r="230" spans="1:15">
      <c r="A230" s="6" t="s">
        <v>16</v>
      </c>
      <c r="B230" s="33">
        <f t="shared" si="21"/>
        <v>0</v>
      </c>
      <c r="C230" s="7" t="s">
        <v>8</v>
      </c>
      <c r="D230" s="39"/>
      <c r="E230" s="34">
        <f t="shared" si="25"/>
        <v>0</v>
      </c>
      <c r="F230" s="2" t="str">
        <f t="shared" si="22"/>
        <v/>
      </c>
      <c r="G230" s="40"/>
      <c r="H230" s="25"/>
      <c r="I230" s="35">
        <f t="shared" si="23"/>
        <v>0</v>
      </c>
      <c r="J230" s="36" t="e">
        <f t="shared" si="24"/>
        <v>#DIV/0!</v>
      </c>
      <c r="K230" s="17"/>
      <c r="M230" s="17"/>
      <c r="N230" s="17"/>
      <c r="O230" s="17"/>
    </row>
    <row r="231" spans="1:15">
      <c r="A231" s="6" t="s">
        <v>16</v>
      </c>
      <c r="B231" s="33">
        <f t="shared" si="21"/>
        <v>0</v>
      </c>
      <c r="C231" s="7" t="s">
        <v>8</v>
      </c>
      <c r="D231" s="39"/>
      <c r="E231" s="34">
        <f t="shared" si="25"/>
        <v>0</v>
      </c>
      <c r="F231" s="2" t="str">
        <f t="shared" si="22"/>
        <v/>
      </c>
      <c r="G231" s="40"/>
      <c r="H231" s="25"/>
      <c r="I231" s="35">
        <f t="shared" si="23"/>
        <v>0</v>
      </c>
      <c r="J231" s="36" t="e">
        <f t="shared" si="24"/>
        <v>#DIV/0!</v>
      </c>
      <c r="K231" s="17"/>
      <c r="M231" s="17"/>
      <c r="N231" s="17"/>
      <c r="O231" s="17"/>
    </row>
    <row r="232" spans="1:15">
      <c r="A232" s="6" t="s">
        <v>16</v>
      </c>
      <c r="B232" s="33">
        <f t="shared" si="21"/>
        <v>0</v>
      </c>
      <c r="C232" s="7" t="s">
        <v>8</v>
      </c>
      <c r="D232" s="39"/>
      <c r="E232" s="34">
        <f t="shared" si="25"/>
        <v>0</v>
      </c>
      <c r="F232" s="2" t="str">
        <f t="shared" si="22"/>
        <v/>
      </c>
      <c r="G232" s="40"/>
      <c r="H232" s="25"/>
      <c r="I232" s="35">
        <f t="shared" si="23"/>
        <v>0</v>
      </c>
      <c r="J232" s="36" t="e">
        <f t="shared" si="24"/>
        <v>#DIV/0!</v>
      </c>
      <c r="K232" s="17"/>
      <c r="M232" s="17"/>
      <c r="N232" s="17"/>
      <c r="O232" s="17"/>
    </row>
    <row r="233" spans="1:15">
      <c r="A233" s="6" t="s">
        <v>16</v>
      </c>
      <c r="B233" s="33">
        <f t="shared" si="21"/>
        <v>0</v>
      </c>
      <c r="C233" s="7" t="s">
        <v>8</v>
      </c>
      <c r="D233" s="39"/>
      <c r="E233" s="34">
        <f t="shared" si="25"/>
        <v>0</v>
      </c>
      <c r="F233" s="2" t="str">
        <f t="shared" si="22"/>
        <v/>
      </c>
      <c r="G233" s="40"/>
      <c r="H233" s="25"/>
      <c r="I233" s="35">
        <f t="shared" si="23"/>
        <v>0</v>
      </c>
      <c r="J233" s="36" t="e">
        <f t="shared" si="24"/>
        <v>#DIV/0!</v>
      </c>
      <c r="K233" s="17"/>
      <c r="M233" s="17"/>
      <c r="N233" s="17"/>
      <c r="O233" s="17"/>
    </row>
    <row r="234" spans="1:15">
      <c r="A234" s="6" t="s">
        <v>16</v>
      </c>
      <c r="B234" s="33">
        <f t="shared" si="21"/>
        <v>0</v>
      </c>
      <c r="C234" s="7" t="s">
        <v>8</v>
      </c>
      <c r="D234" s="39"/>
      <c r="E234" s="34">
        <f t="shared" si="25"/>
        <v>0</v>
      </c>
      <c r="F234" s="2" t="str">
        <f t="shared" si="22"/>
        <v/>
      </c>
      <c r="G234" s="40"/>
      <c r="H234" s="25"/>
      <c r="I234" s="35">
        <f t="shared" si="23"/>
        <v>0</v>
      </c>
      <c r="J234" s="36" t="e">
        <f t="shared" si="24"/>
        <v>#DIV/0!</v>
      </c>
      <c r="K234" s="17"/>
      <c r="M234" s="17"/>
      <c r="N234" s="17"/>
      <c r="O234" s="17"/>
    </row>
    <row r="235" spans="1:15">
      <c r="A235" s="17"/>
      <c r="B235" s="17"/>
      <c r="C235" s="17"/>
      <c r="D235" s="17"/>
      <c r="E235" s="17"/>
      <c r="G235" s="17"/>
      <c r="H235" s="17"/>
      <c r="I235" s="17"/>
      <c r="J235" s="17"/>
      <c r="K235" s="17"/>
    </row>
  </sheetData>
  <sheetProtection algorithmName="SHA-512" hashValue="EWDAFhg9ot/VvqGQA7GMP6qjVDgYatGEo/Juw7aNXCXAyLQmW7ZILag0yf21pMZrJKEq+Rww39kRGSpjthOQ5A==" saltValue="uQ4aK9QOkWCaNNmoEg8aXA==" spinCount="100000" sheet="1" objects="1" scenarios="1"/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65-B7FA-498C-919B-EA934EA448E1}">
  <sheetPr>
    <tabColor theme="0" tint="-0.14999847407452621"/>
    <pageSetUpPr fitToPage="1"/>
  </sheetPr>
  <dimension ref="A1:AK22"/>
  <sheetViews>
    <sheetView zoomScale="70" zoomScaleNormal="70" zoomScaleSheetLayoutView="106" workbookViewId="0">
      <selection activeCell="N12" sqref="N12"/>
    </sheetView>
  </sheetViews>
  <sheetFormatPr defaultRowHeight="18"/>
  <cols>
    <col min="1" max="1" width="29.59765625" customWidth="1"/>
    <col min="15" max="15" width="8.59765625" customWidth="1"/>
    <col min="21" max="21" width="10.59765625" customWidth="1"/>
  </cols>
  <sheetData>
    <row r="1" spans="1:37" ht="25.05" customHeight="1">
      <c r="A1" s="119" t="s">
        <v>91</v>
      </c>
      <c r="B1" s="119"/>
      <c r="C1" s="120"/>
      <c r="D1" s="121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37" ht="20.399999999999999" thickBot="1">
      <c r="A2" s="123" t="s">
        <v>90</v>
      </c>
      <c r="B2" s="124" t="s">
        <v>18</v>
      </c>
      <c r="C2" s="125" t="s">
        <v>19</v>
      </c>
      <c r="D2" s="233" t="s">
        <v>20</v>
      </c>
      <c r="E2" s="234"/>
      <c r="F2" s="235"/>
      <c r="G2" s="233" t="s">
        <v>21</v>
      </c>
      <c r="H2" s="234"/>
      <c r="I2" s="235"/>
      <c r="J2" s="233" t="s">
        <v>22</v>
      </c>
      <c r="K2" s="235"/>
      <c r="L2" s="233" t="s">
        <v>23</v>
      </c>
      <c r="M2" s="234"/>
      <c r="N2" s="235"/>
      <c r="O2" s="233" t="s">
        <v>24</v>
      </c>
      <c r="P2" s="234"/>
      <c r="Q2" s="235"/>
      <c r="R2" s="10" t="s">
        <v>25</v>
      </c>
      <c r="S2" s="126" t="s">
        <v>26</v>
      </c>
      <c r="T2" s="127" t="s">
        <v>27</v>
      </c>
      <c r="U2" s="16"/>
    </row>
    <row r="3" spans="1:37" ht="18.600000000000001" thickBot="1">
      <c r="A3" s="228" t="s">
        <v>185</v>
      </c>
      <c r="B3" s="128" t="s">
        <v>28</v>
      </c>
      <c r="C3" s="129" t="s">
        <v>29</v>
      </c>
      <c r="D3" s="124" t="s">
        <v>30</v>
      </c>
      <c r="E3" s="124" t="s">
        <v>31</v>
      </c>
      <c r="F3" s="124" t="s">
        <v>32</v>
      </c>
      <c r="G3" s="124" t="s">
        <v>30</v>
      </c>
      <c r="H3" s="124" t="s">
        <v>31</v>
      </c>
      <c r="I3" s="124" t="s">
        <v>32</v>
      </c>
      <c r="J3" s="124" t="s">
        <v>33</v>
      </c>
      <c r="K3" s="124" t="s">
        <v>34</v>
      </c>
      <c r="L3" s="124" t="s">
        <v>35</v>
      </c>
      <c r="M3" s="124" t="s">
        <v>36</v>
      </c>
      <c r="N3" s="124" t="s">
        <v>37</v>
      </c>
      <c r="O3" s="124" t="s">
        <v>35</v>
      </c>
      <c r="P3" s="124" t="s">
        <v>36</v>
      </c>
      <c r="Q3" s="124" t="s">
        <v>37</v>
      </c>
      <c r="R3" s="124" t="s">
        <v>38</v>
      </c>
      <c r="S3" s="124" t="s">
        <v>39</v>
      </c>
      <c r="T3" s="124" t="s">
        <v>40</v>
      </c>
      <c r="U3" s="231" t="s">
        <v>41</v>
      </c>
      <c r="AA3" t="s">
        <v>42</v>
      </c>
    </row>
    <row r="4" spans="1:37">
      <c r="A4" s="229"/>
      <c r="B4" s="130">
        <v>-1</v>
      </c>
      <c r="C4" s="130"/>
      <c r="D4" s="130"/>
      <c r="E4" s="130"/>
      <c r="F4" s="130">
        <v>-3</v>
      </c>
      <c r="G4" s="130"/>
      <c r="H4" s="130"/>
      <c r="I4" s="130"/>
      <c r="J4" s="130">
        <v>-1</v>
      </c>
      <c r="K4" s="130"/>
      <c r="L4" s="130">
        <v>-6</v>
      </c>
      <c r="M4" s="130">
        <v>-1</v>
      </c>
      <c r="N4" s="130">
        <v>-4</v>
      </c>
      <c r="O4" s="130"/>
      <c r="P4" s="130"/>
      <c r="Q4" s="130"/>
      <c r="R4" s="130"/>
      <c r="S4" s="130"/>
      <c r="T4" s="131">
        <v>-2</v>
      </c>
      <c r="U4" s="232"/>
      <c r="V4" t="s">
        <v>43</v>
      </c>
      <c r="W4" t="s">
        <v>44</v>
      </c>
      <c r="X4" t="s">
        <v>45</v>
      </c>
      <c r="Y4" t="s">
        <v>46</v>
      </c>
      <c r="AB4" t="s">
        <v>47</v>
      </c>
      <c r="AC4" t="s">
        <v>48</v>
      </c>
      <c r="AD4" t="s">
        <v>49</v>
      </c>
      <c r="AE4" t="s">
        <v>50</v>
      </c>
    </row>
    <row r="5" spans="1:37">
      <c r="A5" s="2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3"/>
      <c r="U5" s="232"/>
      <c r="V5" t="s">
        <v>51</v>
      </c>
      <c r="W5">
        <f>13000*0.4</f>
        <v>5200</v>
      </c>
      <c r="X5">
        <f>9300*0.4</f>
        <v>3720</v>
      </c>
      <c r="AA5" t="s">
        <v>52</v>
      </c>
      <c r="AB5">
        <f>2300*0.4</f>
        <v>920</v>
      </c>
      <c r="AC5">
        <f>2900*0.4</f>
        <v>1160</v>
      </c>
      <c r="AD5" s="134"/>
      <c r="AE5" s="134"/>
      <c r="AG5" s="122" t="s">
        <v>53</v>
      </c>
      <c r="AH5" s="122" t="s">
        <v>54</v>
      </c>
      <c r="AI5" s="122" t="s">
        <v>55</v>
      </c>
      <c r="AJ5" s="122" t="s">
        <v>56</v>
      </c>
      <c r="AK5" s="122" t="s">
        <v>57</v>
      </c>
    </row>
    <row r="6" spans="1:37" ht="18.600000000000001" thickBot="1">
      <c r="A6" s="230"/>
      <c r="B6" s="135">
        <v>1</v>
      </c>
      <c r="C6" s="135"/>
      <c r="D6" s="135"/>
      <c r="E6" s="135"/>
      <c r="F6" s="135">
        <v>3</v>
      </c>
      <c r="G6" s="135"/>
      <c r="H6" s="135"/>
      <c r="I6" s="135"/>
      <c r="J6" s="135">
        <v>1</v>
      </c>
      <c r="K6" s="135"/>
      <c r="L6" s="135">
        <v>6</v>
      </c>
      <c r="M6" s="135">
        <v>1</v>
      </c>
      <c r="N6" s="135">
        <v>4</v>
      </c>
      <c r="O6" s="135"/>
      <c r="P6" s="135"/>
      <c r="Q6" s="135"/>
      <c r="R6" s="135"/>
      <c r="S6" s="135"/>
      <c r="T6" s="136">
        <v>2</v>
      </c>
      <c r="U6" s="232"/>
      <c r="V6" t="s">
        <v>58</v>
      </c>
      <c r="W6">
        <f>19000*0.4</f>
        <v>7600</v>
      </c>
      <c r="X6">
        <f>13000*0.4</f>
        <v>5200</v>
      </c>
      <c r="AA6" t="s">
        <v>59</v>
      </c>
      <c r="AB6" s="137">
        <f>2700*0.4</f>
        <v>1080</v>
      </c>
      <c r="AC6">
        <f>3500*0.4</f>
        <v>1400</v>
      </c>
      <c r="AD6" s="134"/>
      <c r="AE6" s="134"/>
      <c r="AG6">
        <f>7300*0.55</f>
        <v>4015.0000000000005</v>
      </c>
      <c r="AH6">
        <f>2200*0.55</f>
        <v>1210</v>
      </c>
      <c r="AI6">
        <f>2300*0.55</f>
        <v>1265</v>
      </c>
      <c r="AJ6" s="138">
        <f>2700*0.55</f>
        <v>1485.0000000000002</v>
      </c>
      <c r="AK6">
        <f>3700*0.55</f>
        <v>2035.0000000000002</v>
      </c>
    </row>
    <row r="7" spans="1:3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210"/>
      <c r="V7" t="s">
        <v>60</v>
      </c>
      <c r="W7" s="138">
        <f>20000*0.4</f>
        <v>8000</v>
      </c>
      <c r="X7" s="138">
        <f>14000*0.4</f>
        <v>5600</v>
      </c>
      <c r="Y7">
        <f>6000*0.5</f>
        <v>3000</v>
      </c>
      <c r="AA7" t="s">
        <v>61</v>
      </c>
      <c r="AB7">
        <f>3400*0.4</f>
        <v>1360</v>
      </c>
      <c r="AC7">
        <f>4400*0.4</f>
        <v>1760</v>
      </c>
      <c r="AD7" s="134"/>
      <c r="AE7" s="134"/>
    </row>
    <row r="8" spans="1:37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210"/>
      <c r="V8" t="s">
        <v>62</v>
      </c>
      <c r="W8">
        <f>37000*0.4</f>
        <v>14800</v>
      </c>
      <c r="X8">
        <f>26000*0.4</f>
        <v>10400</v>
      </c>
      <c r="Y8">
        <v>5050</v>
      </c>
      <c r="AA8" t="s">
        <v>63</v>
      </c>
      <c r="AB8" s="137">
        <f>4900*0.4</f>
        <v>1960</v>
      </c>
      <c r="AC8">
        <f>6200*0.4</f>
        <v>2480</v>
      </c>
      <c r="AD8" s="134"/>
      <c r="AE8" s="134"/>
      <c r="AG8" t="s">
        <v>64</v>
      </c>
      <c r="AI8" t="s">
        <v>65</v>
      </c>
    </row>
    <row r="9" spans="1:37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210"/>
      <c r="V9" s="122"/>
      <c r="W9">
        <f>6000*0.5</f>
        <v>3000</v>
      </c>
      <c r="AA9" t="s">
        <v>66</v>
      </c>
      <c r="AB9" s="137">
        <f>6500*0.4</f>
        <v>2600</v>
      </c>
      <c r="AC9">
        <f>8800*0.4</f>
        <v>3520</v>
      </c>
      <c r="AD9" s="134"/>
      <c r="AE9" s="134"/>
      <c r="AG9" t="s">
        <v>67</v>
      </c>
      <c r="AH9">
        <f>13900*0.5</f>
        <v>6950</v>
      </c>
      <c r="AI9">
        <f>600*0.5</f>
        <v>300</v>
      </c>
    </row>
    <row r="10" spans="1:37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210"/>
      <c r="V10" s="122" t="s">
        <v>68</v>
      </c>
      <c r="W10" s="122" t="s">
        <v>69</v>
      </c>
      <c r="X10" s="122" t="s">
        <v>70</v>
      </c>
      <c r="Y10" s="139" t="s">
        <v>71</v>
      </c>
      <c r="AA10" t="s">
        <v>72</v>
      </c>
      <c r="AB10" s="140">
        <f>7200*0.4</f>
        <v>2880</v>
      </c>
      <c r="AC10">
        <f>10000*0.4</f>
        <v>4000</v>
      </c>
      <c r="AD10">
        <f>13100*0.4</f>
        <v>5240</v>
      </c>
      <c r="AE10">
        <f>18200*0.4</f>
        <v>7280</v>
      </c>
    </row>
    <row r="11" spans="1:37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>
        <v>1</v>
      </c>
      <c r="M11" s="47"/>
      <c r="N11" s="47">
        <v>1</v>
      </c>
      <c r="O11" s="47"/>
      <c r="P11" s="47"/>
      <c r="Q11" s="47"/>
      <c r="R11" s="47"/>
      <c r="S11" s="47"/>
      <c r="T11" s="47"/>
      <c r="U11" s="210"/>
      <c r="V11" t="s">
        <v>73</v>
      </c>
      <c r="W11">
        <v>610000</v>
      </c>
      <c r="X11">
        <v>650000</v>
      </c>
      <c r="Y11" s="4">
        <v>800000</v>
      </c>
      <c r="AG11" t="s">
        <v>74</v>
      </c>
    </row>
    <row r="12" spans="1:37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210"/>
      <c r="Y12" s="4" t="s">
        <v>75</v>
      </c>
      <c r="AA12" t="s">
        <v>76</v>
      </c>
      <c r="AG12" t="s">
        <v>77</v>
      </c>
    </row>
    <row r="13" spans="1:37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210"/>
      <c r="AA13" s="122" t="s">
        <v>78</v>
      </c>
      <c r="AB13" t="s">
        <v>79</v>
      </c>
      <c r="AC13" t="s">
        <v>48</v>
      </c>
      <c r="AD13" t="s">
        <v>49</v>
      </c>
      <c r="AE13" t="s">
        <v>50</v>
      </c>
      <c r="AG13" t="s">
        <v>80</v>
      </c>
      <c r="AH13">
        <v>22000</v>
      </c>
      <c r="AI13" t="s">
        <v>81</v>
      </c>
    </row>
    <row r="14" spans="1:37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210"/>
      <c r="AA14" t="s">
        <v>82</v>
      </c>
      <c r="AB14">
        <f>12400*0.4</f>
        <v>4960</v>
      </c>
      <c r="AC14">
        <f>17000*0.4</f>
        <v>6800</v>
      </c>
      <c r="AD14">
        <f>21100*0.4</f>
        <v>8440</v>
      </c>
      <c r="AE14">
        <f>30100*0.4</f>
        <v>12040</v>
      </c>
    </row>
    <row r="15" spans="1:37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210"/>
      <c r="AA15" t="s">
        <v>83</v>
      </c>
      <c r="AB15">
        <f>13100*0.4</f>
        <v>5240</v>
      </c>
      <c r="AC15">
        <f>18000*0.4</f>
        <v>7200</v>
      </c>
      <c r="AD15">
        <f>22800*0.4</f>
        <v>9120</v>
      </c>
      <c r="AE15">
        <f>32700*0.4</f>
        <v>13080</v>
      </c>
      <c r="AG15" t="s">
        <v>84</v>
      </c>
    </row>
    <row r="16" spans="1:37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210"/>
    </row>
    <row r="17" spans="1:22">
      <c r="A17" s="127" t="s">
        <v>85</v>
      </c>
      <c r="B17" s="127">
        <f>SUM(B4:B16)</f>
        <v>0</v>
      </c>
      <c r="C17" s="127">
        <f>SUM(C4:C16)</f>
        <v>0</v>
      </c>
      <c r="D17" s="127">
        <f>SUM(D4:D16)</f>
        <v>0</v>
      </c>
      <c r="E17" s="127">
        <f t="shared" ref="E17:T17" si="0">SUM(E4:E16)</f>
        <v>0</v>
      </c>
      <c r="F17" s="127">
        <f t="shared" si="0"/>
        <v>0</v>
      </c>
      <c r="G17" s="127">
        <f t="shared" si="0"/>
        <v>0</v>
      </c>
      <c r="H17" s="127">
        <f t="shared" si="0"/>
        <v>0</v>
      </c>
      <c r="I17" s="127">
        <f t="shared" si="0"/>
        <v>0</v>
      </c>
      <c r="J17" s="127">
        <f t="shared" si="0"/>
        <v>0</v>
      </c>
      <c r="K17" s="127">
        <f>SUM(K4:K16)</f>
        <v>0</v>
      </c>
      <c r="L17" s="127">
        <f>SUM(L4:L16)</f>
        <v>1</v>
      </c>
      <c r="M17" s="127">
        <f t="shared" si="0"/>
        <v>0</v>
      </c>
      <c r="N17" s="127">
        <f t="shared" si="0"/>
        <v>1</v>
      </c>
      <c r="O17" s="127">
        <f t="shared" si="0"/>
        <v>0</v>
      </c>
      <c r="P17" s="127">
        <f t="shared" si="0"/>
        <v>0</v>
      </c>
      <c r="Q17" s="127">
        <f t="shared" si="0"/>
        <v>0</v>
      </c>
      <c r="R17" s="127">
        <f t="shared" si="0"/>
        <v>0</v>
      </c>
      <c r="S17" s="127">
        <f t="shared" si="0"/>
        <v>0</v>
      </c>
      <c r="T17" s="127">
        <f t="shared" si="0"/>
        <v>0</v>
      </c>
      <c r="U17" s="211"/>
    </row>
    <row r="18" spans="1:22">
      <c r="A18" s="16" t="s">
        <v>86</v>
      </c>
      <c r="B18" s="145">
        <f>ROUNDUP(B21/0.7,-1)</f>
        <v>0</v>
      </c>
      <c r="C18" s="145">
        <f t="shared" ref="C18:T18" si="1">ROUNDUP(C21/0.7,-1)</f>
        <v>0</v>
      </c>
      <c r="D18" s="145">
        <f t="shared" si="1"/>
        <v>0</v>
      </c>
      <c r="E18" s="145">
        <f t="shared" si="1"/>
        <v>0</v>
      </c>
      <c r="F18" s="145">
        <f t="shared" si="1"/>
        <v>0</v>
      </c>
      <c r="G18" s="145">
        <f t="shared" si="1"/>
        <v>0</v>
      </c>
      <c r="H18" s="145">
        <f t="shared" si="1"/>
        <v>0</v>
      </c>
      <c r="I18" s="145">
        <f t="shared" si="1"/>
        <v>0</v>
      </c>
      <c r="J18" s="145">
        <f t="shared" si="1"/>
        <v>0</v>
      </c>
      <c r="K18" s="145">
        <f t="shared" si="1"/>
        <v>0</v>
      </c>
      <c r="L18" s="145">
        <f t="shared" si="1"/>
        <v>9600</v>
      </c>
      <c r="M18" s="145">
        <f t="shared" si="1"/>
        <v>0</v>
      </c>
      <c r="N18" s="145">
        <f t="shared" si="1"/>
        <v>5150</v>
      </c>
      <c r="O18" s="145">
        <f t="shared" si="1"/>
        <v>0</v>
      </c>
      <c r="P18" s="145">
        <f t="shared" si="1"/>
        <v>0</v>
      </c>
      <c r="Q18" s="145">
        <f t="shared" si="1"/>
        <v>0</v>
      </c>
      <c r="R18" s="145">
        <f t="shared" si="1"/>
        <v>0</v>
      </c>
      <c r="S18" s="145">
        <f t="shared" si="1"/>
        <v>0</v>
      </c>
      <c r="T18" s="145">
        <f t="shared" si="1"/>
        <v>0</v>
      </c>
      <c r="U18" s="146">
        <f>ROUNDUP(SUM(B18:T18),-2)</f>
        <v>14800</v>
      </c>
      <c r="V18" s="141" t="s">
        <v>186</v>
      </c>
    </row>
    <row r="19" spans="1:22">
      <c r="A19" s="142" t="s">
        <v>87</v>
      </c>
      <c r="B19">
        <f>B17*25500</f>
        <v>0</v>
      </c>
      <c r="C19">
        <f>C17*800000</f>
        <v>0</v>
      </c>
      <c r="D19">
        <f>D17*(1080+300)</f>
        <v>0</v>
      </c>
      <c r="E19">
        <f>E17*(1960+300)</f>
        <v>0</v>
      </c>
      <c r="F19">
        <f>F17*(2880+300)</f>
        <v>0</v>
      </c>
      <c r="G19">
        <f>G17*(1400+300)</f>
        <v>0</v>
      </c>
      <c r="H19">
        <f>H17*(2480+300)</f>
        <v>0</v>
      </c>
      <c r="I19">
        <f>I17*(4000+300)</f>
        <v>0</v>
      </c>
      <c r="J19">
        <f>J17*6950</f>
        <v>0</v>
      </c>
      <c r="K19">
        <f>K17*2000</f>
        <v>0</v>
      </c>
      <c r="L19">
        <f>L17*5600</f>
        <v>5600</v>
      </c>
      <c r="M19">
        <f>M17*8000</f>
        <v>0</v>
      </c>
      <c r="N19">
        <f>N17*3000</f>
        <v>3000</v>
      </c>
      <c r="O19">
        <f>O17*10400</f>
        <v>0</v>
      </c>
      <c r="P19">
        <f>P17*14800</f>
        <v>0</v>
      </c>
      <c r="Q19">
        <f>Q17*5050</f>
        <v>0</v>
      </c>
      <c r="R19">
        <f>R17*(7200+500)</f>
        <v>0</v>
      </c>
      <c r="S19">
        <f>S17*35000</f>
        <v>0</v>
      </c>
      <c r="T19">
        <f>T17*(2880+850)</f>
        <v>0</v>
      </c>
      <c r="U19" s="27">
        <f>SUM(B19:T19)</f>
        <v>8600</v>
      </c>
    </row>
    <row r="20" spans="1:22" ht="18.600000000000001" thickBot="1">
      <c r="A20" s="143" t="s">
        <v>88</v>
      </c>
      <c r="B20">
        <f>B19*0.2</f>
        <v>0</v>
      </c>
      <c r="C20">
        <f t="shared" ref="C20:T20" si="2">C19*0.2</f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>L19*0.2</f>
        <v>1120</v>
      </c>
      <c r="M20">
        <f t="shared" si="2"/>
        <v>0</v>
      </c>
      <c r="N20">
        <f t="shared" si="2"/>
        <v>600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>S19*0.2</f>
        <v>0</v>
      </c>
      <c r="T20">
        <f t="shared" si="2"/>
        <v>0</v>
      </c>
      <c r="U20" s="27">
        <f>SUM(B20:T20)</f>
        <v>1720</v>
      </c>
    </row>
    <row r="21" spans="1:22" ht="23.4" thickTop="1" thickBot="1">
      <c r="A21" s="122" t="s">
        <v>41</v>
      </c>
      <c r="B21" s="122">
        <f t="shared" ref="B21:T21" si="3">SUM(B19:B20)</f>
        <v>0</v>
      </c>
      <c r="C21" s="122">
        <f t="shared" si="3"/>
        <v>0</v>
      </c>
      <c r="D21" s="122">
        <f t="shared" si="3"/>
        <v>0</v>
      </c>
      <c r="E21" s="122">
        <f t="shared" si="3"/>
        <v>0</v>
      </c>
      <c r="F21" s="122">
        <f t="shared" si="3"/>
        <v>0</v>
      </c>
      <c r="G21" s="122">
        <f t="shared" si="3"/>
        <v>0</v>
      </c>
      <c r="H21" s="122">
        <f t="shared" si="3"/>
        <v>0</v>
      </c>
      <c r="I21" s="122">
        <f t="shared" si="3"/>
        <v>0</v>
      </c>
      <c r="J21" s="122">
        <f t="shared" si="3"/>
        <v>0</v>
      </c>
      <c r="K21" s="122">
        <f t="shared" si="3"/>
        <v>0</v>
      </c>
      <c r="L21" s="122">
        <f t="shared" si="3"/>
        <v>6720</v>
      </c>
      <c r="M21" s="122">
        <f t="shared" si="3"/>
        <v>0</v>
      </c>
      <c r="N21" s="122">
        <f t="shared" si="3"/>
        <v>3600</v>
      </c>
      <c r="O21" s="122">
        <f t="shared" si="3"/>
        <v>0</v>
      </c>
      <c r="P21" s="122">
        <f t="shared" si="3"/>
        <v>0</v>
      </c>
      <c r="Q21" s="122">
        <f t="shared" si="3"/>
        <v>0</v>
      </c>
      <c r="R21" s="122">
        <f t="shared" si="3"/>
        <v>0</v>
      </c>
      <c r="S21" s="122">
        <f t="shared" si="3"/>
        <v>0</v>
      </c>
      <c r="T21" s="122">
        <f t="shared" si="3"/>
        <v>0</v>
      </c>
      <c r="U21" s="147">
        <f>(U18*0.7)</f>
        <v>10360</v>
      </c>
      <c r="V21" s="144" t="s">
        <v>92</v>
      </c>
    </row>
    <row r="22" spans="1:22" ht="18.600000000000001" thickTop="1">
      <c r="C22" t="s">
        <v>89</v>
      </c>
      <c r="U22" s="142"/>
      <c r="V22" t="s">
        <v>93</v>
      </c>
    </row>
  </sheetData>
  <sheetProtection algorithmName="SHA-512" hashValue="qCsaIkMAcITRHfiB80o5gGx/no1okRChUCpYNwAJ+0r9sgbn6OMZzw7O6H3lt7Sw9MaO7cKXrd0B28DzQAHAuA==" saltValue="o4ZDpd7evqwqb4xsTTAlOw==" spinCount="100000" sheet="1" objects="1" scenarios="1"/>
  <mergeCells count="7">
    <mergeCell ref="A3:A6"/>
    <mergeCell ref="U3:U17"/>
    <mergeCell ref="D2:F2"/>
    <mergeCell ref="G2:I2"/>
    <mergeCell ref="J2:K2"/>
    <mergeCell ref="L2:N2"/>
    <mergeCell ref="O2:Q2"/>
  </mergeCells>
  <phoneticPr fontId="2"/>
  <pageMargins left="0.7" right="0.7" top="0.75" bottom="0.75" header="0.3" footer="0.3"/>
  <pageSetup paperSize="9" scale="59" orientation="landscape" r:id="rId1"/>
  <rowBreaks count="1" manualBreakCount="1">
    <brk id="1" max="20" man="1"/>
  </rowBreaks>
  <colBreaks count="2" manualBreakCount="2">
    <brk id="1" max="18" man="1"/>
    <brk id="21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60A3-F8A8-4461-B760-3B7FC548DB60}">
  <sheetPr>
    <tabColor theme="5" tint="0.39997558519241921"/>
    <pageSetUpPr fitToPage="1"/>
  </sheetPr>
  <dimension ref="A1:L234"/>
  <sheetViews>
    <sheetView view="pageBreakPreview" zoomScale="136" zoomScaleNormal="100" zoomScaleSheetLayoutView="136" workbookViewId="0">
      <selection activeCell="B12" sqref="B12"/>
    </sheetView>
  </sheetViews>
  <sheetFormatPr defaultRowHeight="18"/>
  <cols>
    <col min="1" max="1" width="35.59765625" customWidth="1"/>
    <col min="2" max="2" width="12.59765625" customWidth="1"/>
    <col min="3" max="3" width="4.59765625" customWidth="1"/>
    <col min="4" max="4" width="11.59765625" customWidth="1"/>
    <col min="5" max="5" width="15.59765625" customWidth="1"/>
    <col min="6" max="6" width="6" customWidth="1"/>
    <col min="7" max="7" width="1.59765625" customWidth="1"/>
    <col min="8" max="9" width="10.59765625" customWidth="1"/>
  </cols>
  <sheetData>
    <row r="1" spans="1:10" ht="17.850000000000001" customHeight="1">
      <c r="A1" s="1" t="s">
        <v>157</v>
      </c>
      <c r="B1" s="38" t="e">
        <f>#REF!</f>
        <v>#REF!</v>
      </c>
      <c r="C1" s="37" t="e">
        <f>#REF!</f>
        <v>#REF!</v>
      </c>
      <c r="D1" s="38" t="e">
        <f>#REF!</f>
        <v>#REF!</v>
      </c>
      <c r="E1" s="28">
        <f>SUM(E3:E234)</f>
        <v>1779800</v>
      </c>
      <c r="G1" s="4"/>
    </row>
    <row r="2" spans="1:10" ht="17.850000000000001" customHeight="1">
      <c r="A2" s="15" t="s">
        <v>0</v>
      </c>
      <c r="B2" s="13" t="s">
        <v>1</v>
      </c>
      <c r="C2" s="14" t="s">
        <v>2</v>
      </c>
      <c r="D2" s="13" t="s">
        <v>3</v>
      </c>
      <c r="E2" s="12" t="s">
        <v>4</v>
      </c>
      <c r="G2" s="4"/>
      <c r="H2" s="16" t="s">
        <v>6</v>
      </c>
      <c r="I2" s="16" t="s">
        <v>9</v>
      </c>
      <c r="J2" s="16" t="s">
        <v>7</v>
      </c>
    </row>
    <row r="3" spans="1:10" ht="17.850000000000001" customHeight="1">
      <c r="A3" s="53" t="str">
        <f>IFERROR(INDEX(全オプション!A:A,SMALL(全オプション!$F:$F,ROW(A1))),"")</f>
        <v>建具追加（3尺巾）</v>
      </c>
      <c r="B3" s="54">
        <f>IFERROR(INDEX(全オプション!B:B,SMALL(全オプション!$F:$F,ROW(B1))),"")</f>
        <v>30000</v>
      </c>
      <c r="C3" s="55" t="str">
        <f>IFERROR(INDEX(全オプション!C:C,SMALL(全オプション!$F:$F,ROW(C1))),"")</f>
        <v>円</v>
      </c>
      <c r="D3" s="56">
        <f>IFERROR(INDEX(全オプション!D:D,SMALL(全オプション!$F:$F,ROW(D1))),"")</f>
        <v>2</v>
      </c>
      <c r="E3" s="57">
        <f>IFERROR(INDEX(全オプション!E:E,SMALL(全オプション!$F:$F,ROW(E1))),"")</f>
        <v>60000</v>
      </c>
      <c r="F3" s="2">
        <f>IFERROR(INDEX(全オプション!F:F,SMALL(全オプション!$F:$F,ROW(F1))),"")</f>
        <v>13</v>
      </c>
      <c r="G3" s="4"/>
      <c r="H3" s="11">
        <f>IFERROR(INDEX(全オプション!H:H,SMALL(全オプション!$F:$F,ROW(H1))),"")</f>
        <v>21000</v>
      </c>
      <c r="I3" s="11">
        <f>IFERROR(INDEX(全オプション!I:I,SMALL(全オプション!$F:$F,ROW(I1))),"")</f>
        <v>42000</v>
      </c>
      <c r="J3" s="22">
        <f>IFERROR(INDEX(全オプション!J:J,SMALL(全オプション!$F:$F,ROW(J1))),"")</f>
        <v>0.30000000000000004</v>
      </c>
    </row>
    <row r="4" spans="1:10" ht="17.850000000000001" customHeight="1">
      <c r="A4" s="53" t="str">
        <f>IFERROR(INDEX(全オプション!A:A,SMALL(全オプション!$F:$F,ROW(A2))),"")</f>
        <v>3尺可動棚追加</v>
      </c>
      <c r="B4" s="54">
        <f>IFERROR(INDEX(全オプション!B:B,SMALL(全オプション!$F:$F,ROW(B2))),"")</f>
        <v>26000</v>
      </c>
      <c r="C4" s="55" t="str">
        <f>IFERROR(INDEX(全オプション!C:C,SMALL(全オプション!$F:$F,ROW(C2))),"")</f>
        <v>ヵ所</v>
      </c>
      <c r="D4" s="56">
        <f>IFERROR(INDEX(全オプション!D:D,SMALL(全オプション!$F:$F,ROW(D2))),"")</f>
        <v>1</v>
      </c>
      <c r="E4" s="57">
        <f>IFERROR(INDEX(全オプション!E:E,SMALL(全オプション!$F:$F,ROW(E2))),"")</f>
        <v>26000</v>
      </c>
      <c r="F4" s="2">
        <f>IFERROR(INDEX(全オプション!F:F,SMALL(全オプション!$F:$F,ROW(F2))),"")</f>
        <v>26</v>
      </c>
      <c r="G4" s="4"/>
      <c r="H4" s="11">
        <f>IFERROR(INDEX(全オプション!H:H,SMALL(全オプション!$F:$F,ROW(H2))),"")</f>
        <v>18200</v>
      </c>
      <c r="I4" s="11">
        <f>IFERROR(INDEX(全オプション!I:I,SMALL(全オプション!$F:$F,ROW(I2))),"")</f>
        <v>18200</v>
      </c>
      <c r="J4" s="22">
        <f>IFERROR(INDEX(全オプション!J:J,SMALL(全オプション!$F:$F,ROW(J2))),"")</f>
        <v>0.30000000000000004</v>
      </c>
    </row>
    <row r="5" spans="1:10" ht="17.850000000000001" customHeight="1">
      <c r="A5" s="53" t="str">
        <f>IFERROR(INDEX(全オプション!A:A,SMALL(全オプション!$F:$F,ROW(A3))),"")</f>
        <v>6尺可動棚追加</v>
      </c>
      <c r="B5" s="54">
        <f>IFERROR(INDEX(全オプション!B:B,SMALL(全オプション!$F:$F,ROW(B3))),"")</f>
        <v>39000</v>
      </c>
      <c r="C5" s="55" t="str">
        <f>IFERROR(INDEX(全オプション!C:C,SMALL(全オプション!$F:$F,ROW(C3))),"")</f>
        <v>ヵ所</v>
      </c>
      <c r="D5" s="56">
        <f>IFERROR(INDEX(全オプション!D:D,SMALL(全オプション!$F:$F,ROW(D3))),"")</f>
        <v>1</v>
      </c>
      <c r="E5" s="57">
        <f>IFERROR(INDEX(全オプション!E:E,SMALL(全オプション!$F:$F,ROW(E3))),"")</f>
        <v>39000</v>
      </c>
      <c r="F5" s="2">
        <f>IFERROR(INDEX(全オプション!F:F,SMALL(全オプション!$F:$F,ROW(F3))),"")</f>
        <v>27</v>
      </c>
      <c r="G5" s="4"/>
      <c r="H5" s="11">
        <f>IFERROR(INDEX(全オプション!H:H,SMALL(全オプション!$F:$F,ROW(H3))),"")</f>
        <v>27300</v>
      </c>
      <c r="I5" s="11">
        <f>IFERROR(INDEX(全オプション!I:I,SMALL(全オプション!$F:$F,ROW(I3))),"")</f>
        <v>27300</v>
      </c>
      <c r="J5" s="22">
        <f>IFERROR(INDEX(全オプション!J:J,SMALL(全オプション!$F:$F,ROW(J3))),"")</f>
        <v>0.30000000000000004</v>
      </c>
    </row>
    <row r="6" spans="1:10" ht="17.850000000000001" customHeight="1">
      <c r="A6" s="53" t="str">
        <f>IFERROR(INDEX(全オプション!A:A,SMALL(全オプション!$F:$F,ROW(A4))),"")</f>
        <v>6尺枕棚＋ハンガーパイプ</v>
      </c>
      <c r="B6" s="54">
        <f>IFERROR(INDEX(全オプション!B:B,SMALL(全オプション!$F:$F,ROW(B4))),"")</f>
        <v>14800</v>
      </c>
      <c r="C6" s="55" t="str">
        <f>IFERROR(INDEX(全オプション!C:C,SMALL(全オプション!$F:$F,ROW(C4))),"")</f>
        <v>式</v>
      </c>
      <c r="D6" s="56">
        <f>IFERROR(INDEX(全オプション!D:D,SMALL(全オプション!$F:$F,ROW(D4))),"")</f>
        <v>1</v>
      </c>
      <c r="E6" s="57">
        <f>IFERROR(INDEX(全オプション!E:E,SMALL(全オプション!$F:$F,ROW(E4))),"")</f>
        <v>14800</v>
      </c>
      <c r="F6" s="2">
        <f>IFERROR(INDEX(全オプション!F:F,SMALL(全オプション!$F:$F,ROW(F4))),"")</f>
        <v>28</v>
      </c>
      <c r="G6" s="4"/>
      <c r="H6" s="11">
        <f>IFERROR(INDEX(全オプション!H:H,SMALL(全オプション!$F:$F,ROW(H4))),"")</f>
        <v>10360</v>
      </c>
      <c r="I6" s="11">
        <f>IFERROR(INDEX(全オプション!I:I,SMALL(全オプション!$F:$F,ROW(I4))),"")</f>
        <v>10360</v>
      </c>
      <c r="J6" s="22">
        <f>IFERROR(INDEX(全オプション!J:J,SMALL(全オプション!$F:$F,ROW(J4))),"")</f>
        <v>0.30000000000000004</v>
      </c>
    </row>
    <row r="7" spans="1:10" ht="17.850000000000001" customHeight="1">
      <c r="A7" s="53" t="str">
        <f>IFERROR(INDEX(全オプション!A:A,SMALL(全オプション!$F:$F,ROW(A5))),"")</f>
        <v>オプション工事予算</v>
      </c>
      <c r="B7" s="54">
        <f>IFERROR(INDEX(全オプション!B:B,SMALL(全オプション!$F:$F,ROW(B5))),"")</f>
        <v>1640000</v>
      </c>
      <c r="C7" s="55" t="str">
        <f>IFERROR(INDEX(全オプション!C:C,SMALL(全オプション!$F:$F,ROW(C5))),"")</f>
        <v>式</v>
      </c>
      <c r="D7" s="56">
        <f>IFERROR(INDEX(全オプション!D:D,SMALL(全オプション!$F:$F,ROW(D5))),"")</f>
        <v>1</v>
      </c>
      <c r="E7" s="57">
        <f>IFERROR(INDEX(全オプション!E:E,SMALL(全オプション!$F:$F,ROW(E5))),"")</f>
        <v>1640000</v>
      </c>
      <c r="F7" s="2">
        <f>IFERROR(INDEX(全オプション!F:F,SMALL(全オプション!$F:$F,ROW(F5))),"")</f>
        <v>66</v>
      </c>
      <c r="G7" s="4"/>
      <c r="H7" s="11">
        <f>IFERROR(INDEX(全オプション!H:H,SMALL(全オプション!$F:$F,ROW(H5))),"")</f>
        <v>1148000</v>
      </c>
      <c r="I7" s="11">
        <f>IFERROR(INDEX(全オプション!I:I,SMALL(全オプション!$F:$F,ROW(I5))),"")</f>
        <v>1148000</v>
      </c>
      <c r="J7" s="22">
        <f>IFERROR(INDEX(全オプション!J:J,SMALL(全オプション!$F:$F,ROW(J5))),"")</f>
        <v>0.30000000000000004</v>
      </c>
    </row>
    <row r="8" spans="1:10" ht="17.850000000000001" customHeight="1">
      <c r="A8" s="53" t="str">
        <f>IFERROR(INDEX(全オプション!A:A,SMALL(全オプション!$F:$F,ROW(A6))),"")</f>
        <v/>
      </c>
      <c r="B8" s="54" t="str">
        <f>IFERROR(INDEX(全オプション!B:B,SMALL(全オプション!$F:$F,ROW(B6))),"")</f>
        <v/>
      </c>
      <c r="C8" s="55" t="str">
        <f>IFERROR(INDEX(全オプション!C:C,SMALL(全オプション!$F:$F,ROW(C6))),"")</f>
        <v/>
      </c>
      <c r="D8" s="56" t="str">
        <f>IFERROR(INDEX(全オプション!D:D,SMALL(全オプション!$F:$F,ROW(D6))),"")</f>
        <v/>
      </c>
      <c r="E8" s="57" t="str">
        <f>IFERROR(INDEX(全オプション!E:E,SMALL(全オプション!$F:$F,ROW(E6))),"")</f>
        <v/>
      </c>
      <c r="F8" s="2" t="str">
        <f>IFERROR(INDEX(全オプション!F:F,SMALL(全オプション!$F:$F,ROW(F6))),"")</f>
        <v/>
      </c>
      <c r="G8" s="4"/>
      <c r="H8" s="11" t="str">
        <f>IFERROR(INDEX(全オプション!H:H,SMALL(全オプション!$F:$F,ROW(H6))),"")</f>
        <v/>
      </c>
      <c r="I8" s="11" t="str">
        <f>IFERROR(INDEX(全オプション!I:I,SMALL(全オプション!$F:$F,ROW(I6))),"")</f>
        <v/>
      </c>
      <c r="J8" s="22" t="str">
        <f>IFERROR(INDEX(全オプション!J:J,SMALL(全オプション!$F:$F,ROW(J6))),"")</f>
        <v/>
      </c>
    </row>
    <row r="9" spans="1:10" ht="17.850000000000001" customHeight="1">
      <c r="A9" s="53" t="str">
        <f>IFERROR(INDEX(全オプション!A:A,SMALL(全オプション!$F:$F,ROW(A7))),"")</f>
        <v/>
      </c>
      <c r="B9" s="54" t="str">
        <f>IFERROR(INDEX(全オプション!B:B,SMALL(全オプション!$F:$F,ROW(B7))),"")</f>
        <v/>
      </c>
      <c r="C9" s="55" t="str">
        <f>IFERROR(INDEX(全オプション!C:C,SMALL(全オプション!$F:$F,ROW(C7))),"")</f>
        <v/>
      </c>
      <c r="D9" s="56" t="str">
        <f>IFERROR(INDEX(全オプション!D:D,SMALL(全オプション!$F:$F,ROW(D7))),"")</f>
        <v/>
      </c>
      <c r="E9" s="57" t="str">
        <f>IFERROR(INDEX(全オプション!E:E,SMALL(全オプション!$F:$F,ROW(E7))),"")</f>
        <v/>
      </c>
      <c r="F9" s="2" t="str">
        <f>IFERROR(INDEX(全オプション!F:F,SMALL(全オプション!$F:$F,ROW(F7))),"")</f>
        <v/>
      </c>
      <c r="G9" s="4"/>
      <c r="H9" s="11" t="str">
        <f>IFERROR(INDEX(全オプション!H:H,SMALL(全オプション!$F:$F,ROW(H7))),"")</f>
        <v/>
      </c>
      <c r="I9" s="11" t="str">
        <f>IFERROR(INDEX(全オプション!I:I,SMALL(全オプション!$F:$F,ROW(I7))),"")</f>
        <v/>
      </c>
      <c r="J9" s="22" t="str">
        <f>IFERROR(INDEX(全オプション!J:J,SMALL(全オプション!$F:$F,ROW(J7))),"")</f>
        <v/>
      </c>
    </row>
    <row r="10" spans="1:10" ht="17.850000000000001" customHeight="1">
      <c r="A10" s="53" t="str">
        <f>IFERROR(INDEX(全オプション!A:A,SMALL(全オプション!$F:$F,ROW(A8))),"")</f>
        <v/>
      </c>
      <c r="B10" s="54" t="str">
        <f>IFERROR(INDEX(全オプション!B:B,SMALL(全オプション!$F:$F,ROW(B8))),"")</f>
        <v/>
      </c>
      <c r="C10" s="55" t="str">
        <f>IFERROR(INDEX(全オプション!C:C,SMALL(全オプション!$F:$F,ROW(C8))),"")</f>
        <v/>
      </c>
      <c r="D10" s="56" t="str">
        <f>IFERROR(INDEX(全オプション!D:D,SMALL(全オプション!$F:$F,ROW(D8))),"")</f>
        <v/>
      </c>
      <c r="E10" s="57" t="str">
        <f>IFERROR(INDEX(全オプション!E:E,SMALL(全オプション!$F:$F,ROW(E8))),"")</f>
        <v/>
      </c>
      <c r="F10" s="2" t="str">
        <f>IFERROR(INDEX(全オプション!F:F,SMALL(全オプション!$F:$F,ROW(F8))),"")</f>
        <v/>
      </c>
      <c r="G10" s="4"/>
      <c r="H10" s="11" t="str">
        <f>IFERROR(INDEX(全オプション!H:H,SMALL(全オプション!$F:$F,ROW(H8))),"")</f>
        <v/>
      </c>
      <c r="I10" s="11" t="str">
        <f>IFERROR(INDEX(全オプション!I:I,SMALL(全オプション!$F:$F,ROW(I8))),"")</f>
        <v/>
      </c>
      <c r="J10" s="22" t="str">
        <f>IFERROR(INDEX(全オプション!J:J,SMALL(全オプション!$F:$F,ROW(J8))),"")</f>
        <v/>
      </c>
    </row>
    <row r="11" spans="1:10" ht="17.850000000000001" customHeight="1">
      <c r="A11" s="53" t="str">
        <f>IFERROR(INDEX(全オプション!A:A,SMALL(全オプション!$F:$F,ROW(A9))),"")</f>
        <v/>
      </c>
      <c r="B11" s="54" t="str">
        <f>IFERROR(INDEX(全オプション!B:B,SMALL(全オプション!$F:$F,ROW(B9))),"")</f>
        <v/>
      </c>
      <c r="C11" s="55" t="str">
        <f>IFERROR(INDEX(全オプション!C:C,SMALL(全オプション!$F:$F,ROW(C9))),"")</f>
        <v/>
      </c>
      <c r="D11" s="56" t="str">
        <f>IFERROR(INDEX(全オプション!D:D,SMALL(全オプション!$F:$F,ROW(D9))),"")</f>
        <v/>
      </c>
      <c r="E11" s="57" t="str">
        <f>IFERROR(INDEX(全オプション!E:E,SMALL(全オプション!$F:$F,ROW(E9))),"")</f>
        <v/>
      </c>
      <c r="F11" s="2" t="str">
        <f>IFERROR(INDEX(全オプション!F:F,SMALL(全オプション!$F:$F,ROW(F9))),"")</f>
        <v/>
      </c>
      <c r="G11" s="4"/>
      <c r="H11" s="11" t="str">
        <f>IFERROR(INDEX(全オプション!H:H,SMALL(全オプション!$F:$F,ROW(H9))),"")</f>
        <v/>
      </c>
      <c r="I11" s="11" t="str">
        <f>IFERROR(INDEX(全オプション!I:I,SMALL(全オプション!$F:$F,ROW(I9))),"")</f>
        <v/>
      </c>
      <c r="J11" s="22" t="str">
        <f>IFERROR(INDEX(全オプション!J:J,SMALL(全オプション!$F:$F,ROW(J9))),"")</f>
        <v/>
      </c>
    </row>
    <row r="12" spans="1:10" ht="17.850000000000001" customHeight="1">
      <c r="A12" s="53" t="str">
        <f>IFERROR(INDEX(全オプション!A:A,SMALL(全オプション!$F:$F,ROW(A10))),"")</f>
        <v/>
      </c>
      <c r="B12" s="54" t="str">
        <f>IFERROR(INDEX(全オプション!B:B,SMALL(全オプション!$F:$F,ROW(B10))),"")</f>
        <v/>
      </c>
      <c r="C12" s="55" t="str">
        <f>IFERROR(INDEX(全オプション!C:C,SMALL(全オプション!$F:$F,ROW(C10))),"")</f>
        <v/>
      </c>
      <c r="D12" s="56" t="str">
        <f>IFERROR(INDEX(全オプション!D:D,SMALL(全オプション!$F:$F,ROW(D10))),"")</f>
        <v/>
      </c>
      <c r="E12" s="57" t="str">
        <f>IFERROR(INDEX(全オプション!E:E,SMALL(全オプション!$F:$F,ROW(E10))),"")</f>
        <v/>
      </c>
      <c r="F12" s="2" t="str">
        <f>IFERROR(INDEX(全オプション!F:F,SMALL(全オプション!$F:$F,ROW(F10))),"")</f>
        <v/>
      </c>
      <c r="G12" s="4"/>
      <c r="H12" s="11" t="str">
        <f>IFERROR(INDEX(全オプション!H:H,SMALL(全オプション!$F:$F,ROW(H10))),"")</f>
        <v/>
      </c>
      <c r="I12" s="11" t="str">
        <f>IFERROR(INDEX(全オプション!I:I,SMALL(全オプション!$F:$F,ROW(I10))),"")</f>
        <v/>
      </c>
      <c r="J12" s="22" t="str">
        <f>IFERROR(INDEX(全オプション!J:J,SMALL(全オプション!$F:$F,ROW(J10))),"")</f>
        <v/>
      </c>
    </row>
    <row r="13" spans="1:10" ht="17.850000000000001" customHeight="1">
      <c r="A13" s="53" t="str">
        <f>IFERROR(INDEX(全オプション!A:A,SMALL(全オプション!$F:$F,ROW(A11))),"")</f>
        <v/>
      </c>
      <c r="B13" s="54" t="str">
        <f>IFERROR(INDEX(全オプション!B:B,SMALL(全オプション!$F:$F,ROW(B11))),"")</f>
        <v/>
      </c>
      <c r="C13" s="55" t="str">
        <f>IFERROR(INDEX(全オプション!C:C,SMALL(全オプション!$F:$F,ROW(C11))),"")</f>
        <v/>
      </c>
      <c r="D13" s="56" t="str">
        <f>IFERROR(INDEX(全オプション!D:D,SMALL(全オプション!$F:$F,ROW(D11))),"")</f>
        <v/>
      </c>
      <c r="E13" s="57" t="str">
        <f>IFERROR(INDEX(全オプション!E:E,SMALL(全オプション!$F:$F,ROW(E11))),"")</f>
        <v/>
      </c>
      <c r="F13" s="2" t="str">
        <f>IFERROR(INDEX(全オプション!F:F,SMALL(全オプション!$F:$F,ROW(F11))),"")</f>
        <v/>
      </c>
      <c r="G13" s="4"/>
      <c r="H13" s="11" t="str">
        <f>IFERROR(INDEX(全オプション!H:H,SMALL(全オプション!$F:$F,ROW(H11))),"")</f>
        <v/>
      </c>
      <c r="I13" s="11" t="str">
        <f>IFERROR(INDEX(全オプション!I:I,SMALL(全オプション!$F:$F,ROW(I11))),"")</f>
        <v/>
      </c>
      <c r="J13" s="22" t="str">
        <f>IFERROR(INDEX(全オプション!J:J,SMALL(全オプション!$F:$F,ROW(J11))),"")</f>
        <v/>
      </c>
    </row>
    <row r="14" spans="1:10" ht="17.850000000000001" customHeight="1">
      <c r="A14" s="53" t="str">
        <f>IFERROR(INDEX(全オプション!A:A,SMALL(全オプション!$F:$F,ROW(A12))),"")</f>
        <v/>
      </c>
      <c r="B14" s="54" t="str">
        <f>IFERROR(INDEX(全オプション!B:B,SMALL(全オプション!$F:$F,ROW(B12))),"")</f>
        <v/>
      </c>
      <c r="C14" s="55" t="str">
        <f>IFERROR(INDEX(全オプション!C:C,SMALL(全オプション!$F:$F,ROW(C12))),"")</f>
        <v/>
      </c>
      <c r="D14" s="56" t="str">
        <f>IFERROR(INDEX(全オプション!D:D,SMALL(全オプション!$F:$F,ROW(D12))),"")</f>
        <v/>
      </c>
      <c r="E14" s="57" t="str">
        <f>IFERROR(INDEX(全オプション!E:E,SMALL(全オプション!$F:$F,ROW(E12))),"")</f>
        <v/>
      </c>
      <c r="F14" s="2" t="str">
        <f>IFERROR(INDEX(全オプション!F:F,SMALL(全オプション!$F:$F,ROW(F12))),"")</f>
        <v/>
      </c>
      <c r="G14" s="4"/>
      <c r="H14" s="11" t="str">
        <f>IFERROR(INDEX(全オプション!H:H,SMALL(全オプション!$F:$F,ROW(H12))),"")</f>
        <v/>
      </c>
      <c r="I14" s="11" t="str">
        <f>IFERROR(INDEX(全オプション!I:I,SMALL(全オプション!$F:$F,ROW(I12))),"")</f>
        <v/>
      </c>
      <c r="J14" s="22" t="str">
        <f>IFERROR(INDEX(全オプション!J:J,SMALL(全オプション!$F:$F,ROW(J12))),"")</f>
        <v/>
      </c>
    </row>
    <row r="15" spans="1:10" ht="17.850000000000001" customHeight="1">
      <c r="A15" s="53" t="str">
        <f>IFERROR(INDEX(全オプション!A:A,SMALL(全オプション!$F:$F,ROW(A13))),"")</f>
        <v/>
      </c>
      <c r="B15" s="54" t="str">
        <f>IFERROR(INDEX(全オプション!B:B,SMALL(全オプション!$F:$F,ROW(B13))),"")</f>
        <v/>
      </c>
      <c r="C15" s="55" t="str">
        <f>IFERROR(INDEX(全オプション!C:C,SMALL(全オプション!$F:$F,ROW(C13))),"")</f>
        <v/>
      </c>
      <c r="D15" s="56" t="str">
        <f>IFERROR(INDEX(全オプション!D:D,SMALL(全オプション!$F:$F,ROW(D13))),"")</f>
        <v/>
      </c>
      <c r="E15" s="57" t="str">
        <f>IFERROR(INDEX(全オプション!E:E,SMALL(全オプション!$F:$F,ROW(E13))),"")</f>
        <v/>
      </c>
      <c r="F15" s="2" t="str">
        <f>IFERROR(INDEX(全オプション!F:F,SMALL(全オプション!$F:$F,ROW(F13))),"")</f>
        <v/>
      </c>
      <c r="G15" s="4"/>
      <c r="H15" s="11" t="str">
        <f>IFERROR(INDEX(全オプション!H:H,SMALL(全オプション!$F:$F,ROW(H13))),"")</f>
        <v/>
      </c>
      <c r="I15" s="11" t="str">
        <f>IFERROR(INDEX(全オプション!I:I,SMALL(全オプション!$F:$F,ROW(I13))),"")</f>
        <v/>
      </c>
      <c r="J15" s="22" t="str">
        <f>IFERROR(INDEX(全オプション!J:J,SMALL(全オプション!$F:$F,ROW(J13))),"")</f>
        <v/>
      </c>
    </row>
    <row r="16" spans="1:10" ht="17.850000000000001" customHeight="1">
      <c r="A16" s="53" t="str">
        <f>IFERROR(INDEX(全オプション!A:A,SMALL(全オプション!$F:$F,ROW(A14))),"")</f>
        <v/>
      </c>
      <c r="B16" s="54" t="str">
        <f>IFERROR(INDEX(全オプション!B:B,SMALL(全オプション!$F:$F,ROW(B14))),"")</f>
        <v/>
      </c>
      <c r="C16" s="55" t="str">
        <f>IFERROR(INDEX(全オプション!C:C,SMALL(全オプション!$F:$F,ROW(C14))),"")</f>
        <v/>
      </c>
      <c r="D16" s="56" t="str">
        <f>IFERROR(INDEX(全オプション!D:D,SMALL(全オプション!$F:$F,ROW(D14))),"")</f>
        <v/>
      </c>
      <c r="E16" s="57" t="str">
        <f>IFERROR(INDEX(全オプション!E:E,SMALL(全オプション!$F:$F,ROW(E14))),"")</f>
        <v/>
      </c>
      <c r="F16" s="2" t="str">
        <f>IFERROR(INDEX(全オプション!F:F,SMALL(全オプション!$F:$F,ROW(F14))),"")</f>
        <v/>
      </c>
      <c r="G16" s="4"/>
      <c r="H16" s="11" t="str">
        <f>IFERROR(INDEX(全オプション!H:H,SMALL(全オプション!$F:$F,ROW(H14))),"")</f>
        <v/>
      </c>
      <c r="I16" s="11" t="str">
        <f>IFERROR(INDEX(全オプション!I:I,SMALL(全オプション!$F:$F,ROW(I14))),"")</f>
        <v/>
      </c>
      <c r="J16" s="22" t="str">
        <f>IFERROR(INDEX(全オプション!J:J,SMALL(全オプション!$F:$F,ROW(J14))),"")</f>
        <v/>
      </c>
    </row>
    <row r="17" spans="1:12" ht="17.850000000000001" customHeight="1">
      <c r="A17" s="53" t="str">
        <f>IFERROR(INDEX(全オプション!A:A,SMALL(全オプション!$F:$F,ROW(A15))),"")</f>
        <v/>
      </c>
      <c r="B17" s="54" t="str">
        <f>IFERROR(INDEX(全オプション!B:B,SMALL(全オプション!$F:$F,ROW(B15))),"")</f>
        <v/>
      </c>
      <c r="C17" s="55" t="str">
        <f>IFERROR(INDEX(全オプション!C:C,SMALL(全オプション!$F:$F,ROW(C15))),"")</f>
        <v/>
      </c>
      <c r="D17" s="56" t="str">
        <f>IFERROR(INDEX(全オプション!D:D,SMALL(全オプション!$F:$F,ROW(D15))),"")</f>
        <v/>
      </c>
      <c r="E17" s="57" t="str">
        <f>IFERROR(INDEX(全オプション!E:E,SMALL(全オプション!$F:$F,ROW(E15))),"")</f>
        <v/>
      </c>
      <c r="F17" s="2" t="str">
        <f>IFERROR(INDEX(全オプション!F:F,SMALL(全オプション!$F:$F,ROW(F15))),"")</f>
        <v/>
      </c>
      <c r="G17" s="4"/>
      <c r="H17" s="11" t="str">
        <f>IFERROR(INDEX(全オプション!H:H,SMALL(全オプション!$F:$F,ROW(H15))),"")</f>
        <v/>
      </c>
      <c r="I17" s="11" t="str">
        <f>IFERROR(INDEX(全オプション!I:I,SMALL(全オプション!$F:$F,ROW(I15))),"")</f>
        <v/>
      </c>
      <c r="J17" s="22" t="str">
        <f>IFERROR(INDEX(全オプション!J:J,SMALL(全オプション!$F:$F,ROW(J15))),"")</f>
        <v/>
      </c>
    </row>
    <row r="18" spans="1:12" ht="17.850000000000001" customHeight="1">
      <c r="A18" s="53" t="str">
        <f>IFERROR(INDEX(全オプション!A:A,SMALL(全オプション!$F:$F,ROW(A16))),"")</f>
        <v/>
      </c>
      <c r="B18" s="54" t="str">
        <f>IFERROR(INDEX(全オプション!B:B,SMALL(全オプション!$F:$F,ROW(B16))),"")</f>
        <v/>
      </c>
      <c r="C18" s="55" t="str">
        <f>IFERROR(INDEX(全オプション!C:C,SMALL(全オプション!$F:$F,ROW(C16))),"")</f>
        <v/>
      </c>
      <c r="D18" s="56" t="str">
        <f>IFERROR(INDEX(全オプション!D:D,SMALL(全オプション!$F:$F,ROW(D16))),"")</f>
        <v/>
      </c>
      <c r="E18" s="57" t="str">
        <f>IFERROR(INDEX(全オプション!E:E,SMALL(全オプション!$F:$F,ROW(E16))),"")</f>
        <v/>
      </c>
      <c r="F18" s="2" t="str">
        <f>IFERROR(INDEX(全オプション!F:F,SMALL(全オプション!$F:$F,ROW(F16))),"")</f>
        <v/>
      </c>
      <c r="G18" s="3"/>
      <c r="H18" s="11" t="str">
        <f>IFERROR(INDEX(全オプション!H:H,SMALL(全オプション!$F:$F,ROW(H16))),"")</f>
        <v/>
      </c>
      <c r="I18" s="11" t="str">
        <f>IFERROR(INDEX(全オプション!I:I,SMALL(全オプション!$F:$F,ROW(I16))),"")</f>
        <v/>
      </c>
      <c r="J18" s="22" t="str">
        <f>IFERROR(INDEX(全オプション!J:J,SMALL(全オプション!$F:$F,ROW(J16))),"")</f>
        <v/>
      </c>
    </row>
    <row r="19" spans="1:12" ht="17.850000000000001" customHeight="1">
      <c r="A19" s="53" t="str">
        <f>IFERROR(INDEX(全オプション!A:A,SMALL(全オプション!$F:$F,ROW(A17))),"")</f>
        <v/>
      </c>
      <c r="B19" s="54" t="str">
        <f>IFERROR(INDEX(全オプション!B:B,SMALL(全オプション!$F:$F,ROW(B17))),"")</f>
        <v/>
      </c>
      <c r="C19" s="55" t="str">
        <f>IFERROR(INDEX(全オプション!C:C,SMALL(全オプション!$F:$F,ROW(C17))),"")</f>
        <v/>
      </c>
      <c r="D19" s="56" t="str">
        <f>IFERROR(INDEX(全オプション!D:D,SMALL(全オプション!$F:$F,ROW(D17))),"")</f>
        <v/>
      </c>
      <c r="E19" s="57" t="str">
        <f>IFERROR(INDEX(全オプション!E:E,SMALL(全オプション!$F:$F,ROW(E17))),"")</f>
        <v/>
      </c>
      <c r="F19" s="2" t="str">
        <f>IFERROR(INDEX(全オプション!F:F,SMALL(全オプション!$F:$F,ROW(F17))),"")</f>
        <v/>
      </c>
      <c r="G19" s="3"/>
      <c r="H19" s="11" t="str">
        <f>IFERROR(INDEX(全オプション!H:H,SMALL(全オプション!$F:$F,ROW(H17))),"")</f>
        <v/>
      </c>
      <c r="I19" s="11" t="str">
        <f>IFERROR(INDEX(全オプション!I:I,SMALL(全オプション!$F:$F,ROW(I17))),"")</f>
        <v/>
      </c>
      <c r="J19" s="22" t="str">
        <f>IFERROR(INDEX(全オプション!J:J,SMALL(全オプション!$F:$F,ROW(J17))),"")</f>
        <v/>
      </c>
    </row>
    <row r="20" spans="1:12" ht="17.850000000000001" customHeight="1" thickBot="1">
      <c r="A20" s="63" t="str">
        <f>IFERROR(INDEX(全オプション!A:A,SMALL(全オプション!$F:$F,ROW(A18))),"")</f>
        <v/>
      </c>
      <c r="B20" s="64" t="str">
        <f>IFERROR(INDEX(全オプション!B:B,SMALL(全オプション!$F:$F,ROW(B18))),"")</f>
        <v/>
      </c>
      <c r="C20" s="65" t="str">
        <f>IFERROR(INDEX(全オプション!C:C,SMALL(全オプション!$F:$F,ROW(C18))),"")</f>
        <v/>
      </c>
      <c r="D20" s="66" t="str">
        <f>IFERROR(INDEX(全オプション!D:D,SMALL(全オプション!$F:$F,ROW(D18))),"")</f>
        <v/>
      </c>
      <c r="E20" s="67" t="str">
        <f>IFERROR(INDEX(全オプション!E:E,SMALL(全オプション!$F:$F,ROW(E18))),"")</f>
        <v/>
      </c>
      <c r="F20" s="2" t="str">
        <f>IFERROR(INDEX(全オプション!F:F,SMALL(全オプション!$F:$F,ROW(F18))),"")</f>
        <v/>
      </c>
      <c r="G20" s="4"/>
      <c r="H20" s="68" t="str">
        <f>IFERROR(INDEX(全オプション!H:H,SMALL(全オプション!$F:$F,ROW(H18))),"")</f>
        <v/>
      </c>
      <c r="I20" s="68" t="str">
        <f>IFERROR(INDEX(全オプション!I:I,SMALL(全オプション!$F:$F,ROW(I18))),"")</f>
        <v/>
      </c>
      <c r="J20" s="69" t="str">
        <f>IFERROR(INDEX(全オプション!J:J,SMALL(全オプション!$F:$F,ROW(J18))),"")</f>
        <v/>
      </c>
      <c r="K20" t="s">
        <v>158</v>
      </c>
    </row>
    <row r="21" spans="1:12" ht="17.850000000000001" customHeight="1" thickTop="1">
      <c r="A21" s="70" t="str">
        <f>IFERROR(INDEX(全オプション!A:A,SMALL(全オプション!$F:$F,ROW(A19))),"")</f>
        <v/>
      </c>
      <c r="B21" s="71" t="str">
        <f>IFERROR(INDEX(全オプション!B:B,SMALL(全オプション!$F:$F,ROW(B19))),"")</f>
        <v/>
      </c>
      <c r="C21" s="72" t="str">
        <f>IFERROR(INDEX(全オプション!C:C,SMALL(全オプション!$F:$F,ROW(C19))),"")</f>
        <v/>
      </c>
      <c r="D21" s="73" t="str">
        <f>IFERROR(INDEX(全オプション!D:D,SMALL(全オプション!$F:$F,ROW(D19))),"")</f>
        <v/>
      </c>
      <c r="E21" s="74" t="str">
        <f>IFERROR(INDEX(全オプション!E:E,SMALL(全オプション!$F:$F,ROW(E19))),"")</f>
        <v/>
      </c>
      <c r="F21" s="75" t="str">
        <f>IFERROR(INDEX(全オプション!F:F,SMALL(全オプション!$F:$F,ROW(F19))),"")</f>
        <v/>
      </c>
      <c r="G21" s="76"/>
      <c r="H21" s="77" t="str">
        <f>IFERROR(INDEX(全オプション!H:H,SMALL(全オプション!$F:$F,ROW(H19))),"")</f>
        <v/>
      </c>
      <c r="I21" s="77" t="str">
        <f>IFERROR(INDEX(全オプション!I:I,SMALL(全オプション!$F:$F,ROW(I19))),"")</f>
        <v/>
      </c>
      <c r="J21" s="78" t="str">
        <f>IFERROR(INDEX(全オプション!J:J,SMALL(全オプション!$F:$F,ROW(J19))),"")</f>
        <v/>
      </c>
      <c r="K21" s="79"/>
      <c r="L21" s="79"/>
    </row>
    <row r="22" spans="1:12" ht="17.850000000000001" customHeight="1">
      <c r="A22" s="58" t="str">
        <f>IFERROR(INDEX(全オプション!A:A,SMALL(全オプション!$F:$F,ROW(A20))),"")</f>
        <v/>
      </c>
      <c r="B22" s="59" t="str">
        <f>IFERROR(INDEX(全オプション!B:B,SMALL(全オプション!$F:$F,ROW(B20))),"")</f>
        <v/>
      </c>
      <c r="C22" s="60" t="str">
        <f>IFERROR(INDEX(全オプション!C:C,SMALL(全オプション!$F:$F,ROW(C20))),"")</f>
        <v/>
      </c>
      <c r="D22" s="61" t="str">
        <f>IFERROR(INDEX(全オプション!D:D,SMALL(全オプション!$F:$F,ROW(D20))),"")</f>
        <v/>
      </c>
      <c r="E22" s="62" t="str">
        <f>IFERROR(INDEX(全オプション!E:E,SMALL(全オプション!$F:$F,ROW(E20))),"")</f>
        <v/>
      </c>
      <c r="F22" s="2" t="str">
        <f>IFERROR(INDEX(全オプション!F:F,SMALL(全オプション!$F:$F,ROW(F20))),"")</f>
        <v/>
      </c>
      <c r="G22" s="4"/>
      <c r="H22" s="11" t="str">
        <f>IFERROR(INDEX(全オプション!H:H,SMALL(全オプション!$F:$F,ROW(H20))),"")</f>
        <v/>
      </c>
      <c r="I22" s="11" t="str">
        <f>IFERROR(INDEX(全オプション!I:I,SMALL(全オプション!$F:$F,ROW(I20))),"")</f>
        <v/>
      </c>
      <c r="J22" s="22" t="str">
        <f>IFERROR(INDEX(全オプション!J:J,SMALL(全オプション!$F:$F,ROW(J20))),"")</f>
        <v/>
      </c>
    </row>
    <row r="23" spans="1:12" ht="17.850000000000001" customHeight="1">
      <c r="A23" s="58" t="str">
        <f>IFERROR(INDEX(全オプション!A:A,SMALL(全オプション!$F:$F,ROW(A21))),"")</f>
        <v/>
      </c>
      <c r="B23" s="59" t="str">
        <f>IFERROR(INDEX(全オプション!B:B,SMALL(全オプション!$F:$F,ROW(B21))),"")</f>
        <v/>
      </c>
      <c r="C23" s="60" t="str">
        <f>IFERROR(INDEX(全オプション!C:C,SMALL(全オプション!$F:$F,ROW(C21))),"")</f>
        <v/>
      </c>
      <c r="D23" s="61" t="str">
        <f>IFERROR(INDEX(全オプション!D:D,SMALL(全オプション!$F:$F,ROW(D21))),"")</f>
        <v/>
      </c>
      <c r="E23" s="62" t="str">
        <f>IFERROR(INDEX(全オプション!E:E,SMALL(全オプション!$F:$F,ROW(E21))),"")</f>
        <v/>
      </c>
      <c r="F23" s="2" t="str">
        <f>IFERROR(INDEX(全オプション!F:F,SMALL(全オプション!$F:$F,ROW(F21))),"")</f>
        <v/>
      </c>
      <c r="G23" s="4"/>
      <c r="H23" s="11" t="str">
        <f>IFERROR(INDEX(全オプション!H:H,SMALL(全オプション!$F:$F,ROW(H21))),"")</f>
        <v/>
      </c>
      <c r="I23" s="11" t="str">
        <f>IFERROR(INDEX(全オプション!I:I,SMALL(全オプション!$F:$F,ROW(I21))),"")</f>
        <v/>
      </c>
      <c r="J23" s="22" t="str">
        <f>IFERROR(INDEX(全オプション!J:J,SMALL(全オプション!$F:$F,ROW(J21))),"")</f>
        <v/>
      </c>
    </row>
    <row r="24" spans="1:12" ht="17.850000000000001" customHeight="1">
      <c r="A24" s="58" t="str">
        <f>IFERROR(INDEX(全オプション!A:A,SMALL(全オプション!$F:$F,ROW(A22))),"")</f>
        <v/>
      </c>
      <c r="B24" s="59" t="str">
        <f>IFERROR(INDEX(全オプション!B:B,SMALL(全オプション!$F:$F,ROW(B22))),"")</f>
        <v/>
      </c>
      <c r="C24" s="60" t="str">
        <f>IFERROR(INDEX(全オプション!C:C,SMALL(全オプション!$F:$F,ROW(C22))),"")</f>
        <v/>
      </c>
      <c r="D24" s="61" t="str">
        <f>IFERROR(INDEX(全オプション!D:D,SMALL(全オプション!$F:$F,ROW(D22))),"")</f>
        <v/>
      </c>
      <c r="E24" s="62" t="str">
        <f>IFERROR(INDEX(全オプション!E:E,SMALL(全オプション!$F:$F,ROW(E22))),"")</f>
        <v/>
      </c>
      <c r="F24" s="2" t="str">
        <f>IFERROR(INDEX(全オプション!F:F,SMALL(全オプション!$F:$F,ROW(F22))),"")</f>
        <v/>
      </c>
      <c r="G24" s="4"/>
      <c r="H24" s="11" t="str">
        <f>IFERROR(INDEX(全オプション!H:H,SMALL(全オプション!$F:$F,ROW(H22))),"")</f>
        <v/>
      </c>
      <c r="I24" s="11" t="str">
        <f>IFERROR(INDEX(全オプション!I:I,SMALL(全オプション!$F:$F,ROW(I22))),"")</f>
        <v/>
      </c>
      <c r="J24" s="22" t="str">
        <f>IFERROR(INDEX(全オプション!J:J,SMALL(全オプション!$F:$F,ROW(J22))),"")</f>
        <v/>
      </c>
    </row>
    <row r="25" spans="1:12" ht="17.850000000000001" customHeight="1">
      <c r="A25" s="58" t="str">
        <f>IFERROR(INDEX(全オプション!A:A,SMALL(全オプション!$F:$F,ROW(A23))),"")</f>
        <v/>
      </c>
      <c r="B25" s="59" t="str">
        <f>IFERROR(INDEX(全オプション!B:B,SMALL(全オプション!$F:$F,ROW(B23))),"")</f>
        <v/>
      </c>
      <c r="C25" s="60" t="str">
        <f>IFERROR(INDEX(全オプション!C:C,SMALL(全オプション!$F:$F,ROW(C23))),"")</f>
        <v/>
      </c>
      <c r="D25" s="61" t="str">
        <f>IFERROR(INDEX(全オプション!D:D,SMALL(全オプション!$F:$F,ROW(D23))),"")</f>
        <v/>
      </c>
      <c r="E25" s="62" t="str">
        <f>IFERROR(INDEX(全オプション!E:E,SMALL(全オプション!$F:$F,ROW(E23))),"")</f>
        <v/>
      </c>
      <c r="F25" s="2" t="str">
        <f>IFERROR(INDEX(全オプション!F:F,SMALL(全オプション!$F:$F,ROW(F23))),"")</f>
        <v/>
      </c>
      <c r="G25" s="4"/>
      <c r="H25" s="11" t="str">
        <f>IFERROR(INDEX(全オプション!H:H,SMALL(全オプション!$F:$F,ROW(H23))),"")</f>
        <v/>
      </c>
      <c r="I25" s="11" t="str">
        <f>IFERROR(INDEX(全オプション!I:I,SMALL(全オプション!$F:$F,ROW(I23))),"")</f>
        <v/>
      </c>
      <c r="J25" s="22" t="str">
        <f>IFERROR(INDEX(全オプション!J:J,SMALL(全オプション!$F:$F,ROW(J23))),"")</f>
        <v/>
      </c>
    </row>
    <row r="26" spans="1:12" ht="17.850000000000001" customHeight="1">
      <c r="A26" s="58" t="str">
        <f>IFERROR(INDEX(全オプション!A:A,SMALL(全オプション!$F:$F,ROW(A24))),"")</f>
        <v/>
      </c>
      <c r="B26" s="59" t="str">
        <f>IFERROR(INDEX(全オプション!B:B,SMALL(全オプション!$F:$F,ROW(B24))),"")</f>
        <v/>
      </c>
      <c r="C26" s="60" t="str">
        <f>IFERROR(INDEX(全オプション!C:C,SMALL(全オプション!$F:$F,ROW(C24))),"")</f>
        <v/>
      </c>
      <c r="D26" s="61" t="str">
        <f>IFERROR(INDEX(全オプション!D:D,SMALL(全オプション!$F:$F,ROW(D24))),"")</f>
        <v/>
      </c>
      <c r="E26" s="62" t="str">
        <f>IFERROR(INDEX(全オプション!E:E,SMALL(全オプション!$F:$F,ROW(E24))),"")</f>
        <v/>
      </c>
      <c r="F26" s="2" t="str">
        <f>IFERROR(INDEX(全オプション!F:F,SMALL(全オプション!$F:$F,ROW(F24))),"")</f>
        <v/>
      </c>
      <c r="G26" s="4"/>
      <c r="H26" s="11" t="str">
        <f>IFERROR(INDEX(全オプション!H:H,SMALL(全オプション!$F:$F,ROW(H24))),"")</f>
        <v/>
      </c>
      <c r="I26" s="11" t="str">
        <f>IFERROR(INDEX(全オプション!I:I,SMALL(全オプション!$F:$F,ROW(I24))),"")</f>
        <v/>
      </c>
      <c r="J26" s="22" t="str">
        <f>IFERROR(INDEX(全オプション!J:J,SMALL(全オプション!$F:$F,ROW(J24))),"")</f>
        <v/>
      </c>
    </row>
    <row r="27" spans="1:12" ht="17.850000000000001" customHeight="1">
      <c r="A27" s="58" t="str">
        <f>IFERROR(INDEX(全オプション!A:A,SMALL(全オプション!$F:$F,ROW(A25))),"")</f>
        <v/>
      </c>
      <c r="B27" s="59" t="str">
        <f>IFERROR(INDEX(全オプション!B:B,SMALL(全オプション!$F:$F,ROW(B25))),"")</f>
        <v/>
      </c>
      <c r="C27" s="60" t="str">
        <f>IFERROR(INDEX(全オプション!C:C,SMALL(全オプション!$F:$F,ROW(C25))),"")</f>
        <v/>
      </c>
      <c r="D27" s="61" t="str">
        <f>IFERROR(INDEX(全オプション!D:D,SMALL(全オプション!$F:$F,ROW(D25))),"")</f>
        <v/>
      </c>
      <c r="E27" s="62" t="str">
        <f>IFERROR(INDEX(全オプション!E:E,SMALL(全オプション!$F:$F,ROW(E25))),"")</f>
        <v/>
      </c>
      <c r="F27" s="2" t="str">
        <f>IFERROR(INDEX(全オプション!F:F,SMALL(全オプション!$F:$F,ROW(F25))),"")</f>
        <v/>
      </c>
      <c r="G27" s="4"/>
      <c r="H27" s="11" t="str">
        <f>IFERROR(INDEX(全オプション!H:H,SMALL(全オプション!$F:$F,ROW(H25))),"")</f>
        <v/>
      </c>
      <c r="I27" s="11" t="str">
        <f>IFERROR(INDEX(全オプション!I:I,SMALL(全オプション!$F:$F,ROW(I25))),"")</f>
        <v/>
      </c>
      <c r="J27" s="22" t="str">
        <f>IFERROR(INDEX(全オプション!J:J,SMALL(全オプション!$F:$F,ROW(J25))),"")</f>
        <v/>
      </c>
    </row>
    <row r="28" spans="1:12" ht="17.850000000000001" customHeight="1">
      <c r="A28" s="58" t="str">
        <f>IFERROR(INDEX(全オプション!A:A,SMALL(全オプション!$F:$F,ROW(A26))),"")</f>
        <v/>
      </c>
      <c r="B28" s="59" t="str">
        <f>IFERROR(INDEX(全オプション!B:B,SMALL(全オプション!$F:$F,ROW(B26))),"")</f>
        <v/>
      </c>
      <c r="C28" s="60" t="str">
        <f>IFERROR(INDEX(全オプション!C:C,SMALL(全オプション!$F:$F,ROW(C26))),"")</f>
        <v/>
      </c>
      <c r="D28" s="61" t="str">
        <f>IFERROR(INDEX(全オプション!D:D,SMALL(全オプション!$F:$F,ROW(D26))),"")</f>
        <v/>
      </c>
      <c r="E28" s="62" t="str">
        <f>IFERROR(INDEX(全オプション!E:E,SMALL(全オプション!$F:$F,ROW(E26))),"")</f>
        <v/>
      </c>
      <c r="F28" s="2" t="str">
        <f>IFERROR(INDEX(全オプション!F:F,SMALL(全オプション!$F:$F,ROW(F26))),"")</f>
        <v/>
      </c>
      <c r="G28" s="4"/>
      <c r="H28" s="11" t="str">
        <f>IFERROR(INDEX(全オプション!H:H,SMALL(全オプション!$F:$F,ROW(H26))),"")</f>
        <v/>
      </c>
      <c r="I28" s="11" t="str">
        <f>IFERROR(INDEX(全オプション!I:I,SMALL(全オプション!$F:$F,ROW(I26))),"")</f>
        <v/>
      </c>
      <c r="J28" s="22" t="str">
        <f>IFERROR(INDEX(全オプション!J:J,SMALL(全オプション!$F:$F,ROW(J26))),"")</f>
        <v/>
      </c>
    </row>
    <row r="29" spans="1:12" ht="17.850000000000001" customHeight="1">
      <c r="A29" s="58" t="str">
        <f>IFERROR(INDEX(全オプション!A:A,SMALL(全オプション!$F:$F,ROW(A27))),"")</f>
        <v/>
      </c>
      <c r="B29" s="59" t="str">
        <f>IFERROR(INDEX(全オプション!B:B,SMALL(全オプション!$F:$F,ROW(B27))),"")</f>
        <v/>
      </c>
      <c r="C29" s="60" t="str">
        <f>IFERROR(INDEX(全オプション!C:C,SMALL(全オプション!$F:$F,ROW(C27))),"")</f>
        <v/>
      </c>
      <c r="D29" s="61" t="str">
        <f>IFERROR(INDEX(全オプション!D:D,SMALL(全オプション!$F:$F,ROW(D27))),"")</f>
        <v/>
      </c>
      <c r="E29" s="62" t="str">
        <f>IFERROR(INDEX(全オプション!E:E,SMALL(全オプション!$F:$F,ROW(E27))),"")</f>
        <v/>
      </c>
      <c r="F29" s="2" t="str">
        <f>IFERROR(INDEX(全オプション!F:F,SMALL(全オプション!$F:$F,ROW(F27))),"")</f>
        <v/>
      </c>
      <c r="G29" s="4"/>
      <c r="H29" s="11" t="str">
        <f>IFERROR(INDEX(全オプション!H:H,SMALL(全オプション!$F:$F,ROW(H27))),"")</f>
        <v/>
      </c>
      <c r="I29" s="11" t="str">
        <f>IFERROR(INDEX(全オプション!I:I,SMALL(全オプション!$F:$F,ROW(I27))),"")</f>
        <v/>
      </c>
      <c r="J29" s="22" t="str">
        <f>IFERROR(INDEX(全オプション!J:J,SMALL(全オプション!$F:$F,ROW(J27))),"")</f>
        <v/>
      </c>
    </row>
    <row r="30" spans="1:12" ht="17.850000000000001" customHeight="1">
      <c r="A30" s="58" t="str">
        <f>IFERROR(INDEX(全オプション!A:A,SMALL(全オプション!$F:$F,ROW(A28))),"")</f>
        <v/>
      </c>
      <c r="B30" s="59" t="str">
        <f>IFERROR(INDEX(全オプション!B:B,SMALL(全オプション!$F:$F,ROW(B28))),"")</f>
        <v/>
      </c>
      <c r="C30" s="60" t="str">
        <f>IFERROR(INDEX(全オプション!C:C,SMALL(全オプション!$F:$F,ROW(C28))),"")</f>
        <v/>
      </c>
      <c r="D30" s="61" t="str">
        <f>IFERROR(INDEX(全オプション!D:D,SMALL(全オプション!$F:$F,ROW(D28))),"")</f>
        <v/>
      </c>
      <c r="E30" s="62" t="str">
        <f>IFERROR(INDEX(全オプション!E:E,SMALL(全オプション!$F:$F,ROW(E28))),"")</f>
        <v/>
      </c>
      <c r="F30" s="2" t="str">
        <f>IFERROR(INDEX(全オプション!F:F,SMALL(全オプション!$F:$F,ROW(F28))),"")</f>
        <v/>
      </c>
      <c r="G30" s="4"/>
      <c r="H30" s="11" t="str">
        <f>IFERROR(INDEX(全オプション!H:H,SMALL(全オプション!$F:$F,ROW(H28))),"")</f>
        <v/>
      </c>
      <c r="I30" s="11" t="str">
        <f>IFERROR(INDEX(全オプション!I:I,SMALL(全オプション!$F:$F,ROW(I28))),"")</f>
        <v/>
      </c>
      <c r="J30" s="22" t="str">
        <f>IFERROR(INDEX(全オプション!J:J,SMALL(全オプション!$F:$F,ROW(J28))),"")</f>
        <v/>
      </c>
    </row>
    <row r="31" spans="1:12" ht="17.850000000000001" customHeight="1">
      <c r="A31" s="58" t="str">
        <f>IFERROR(INDEX(全オプション!A:A,SMALL(全オプション!$F:$F,ROW(A29))),"")</f>
        <v/>
      </c>
      <c r="B31" s="59" t="str">
        <f>IFERROR(INDEX(全オプション!B:B,SMALL(全オプション!$F:$F,ROW(B29))),"")</f>
        <v/>
      </c>
      <c r="C31" s="60" t="str">
        <f>IFERROR(INDEX(全オプション!C:C,SMALL(全オプション!$F:$F,ROW(C29))),"")</f>
        <v/>
      </c>
      <c r="D31" s="61" t="str">
        <f>IFERROR(INDEX(全オプション!D:D,SMALL(全オプション!$F:$F,ROW(D29))),"")</f>
        <v/>
      </c>
      <c r="E31" s="62" t="str">
        <f>IFERROR(INDEX(全オプション!E:E,SMALL(全オプション!$F:$F,ROW(E29))),"")</f>
        <v/>
      </c>
      <c r="F31" s="2" t="str">
        <f>IFERROR(INDEX(全オプション!F:F,SMALL(全オプション!$F:$F,ROW(F29))),"")</f>
        <v/>
      </c>
      <c r="G31" s="4"/>
      <c r="H31" s="11" t="str">
        <f>IFERROR(INDEX(全オプション!H:H,SMALL(全オプション!$F:$F,ROW(H29))),"")</f>
        <v/>
      </c>
      <c r="I31" s="11" t="str">
        <f>IFERROR(INDEX(全オプション!I:I,SMALL(全オプション!$F:$F,ROW(I29))),"")</f>
        <v/>
      </c>
      <c r="J31" s="22" t="str">
        <f>IFERROR(INDEX(全オプション!J:J,SMALL(全オプション!$F:$F,ROW(J29))),"")</f>
        <v/>
      </c>
    </row>
    <row r="32" spans="1:12" ht="17.850000000000001" customHeight="1">
      <c r="A32" s="58" t="str">
        <f>IFERROR(INDEX(全オプション!A:A,SMALL(全オプション!$F:$F,ROW(A30))),"")</f>
        <v/>
      </c>
      <c r="B32" s="59" t="str">
        <f>IFERROR(INDEX(全オプション!B:B,SMALL(全オプション!$F:$F,ROW(B30))),"")</f>
        <v/>
      </c>
      <c r="C32" s="60" t="str">
        <f>IFERROR(INDEX(全オプション!C:C,SMALL(全オプション!$F:$F,ROW(C30))),"")</f>
        <v/>
      </c>
      <c r="D32" s="61" t="str">
        <f>IFERROR(INDEX(全オプション!D:D,SMALL(全オプション!$F:$F,ROW(D30))),"")</f>
        <v/>
      </c>
      <c r="E32" s="62" t="str">
        <f>IFERROR(INDEX(全オプション!E:E,SMALL(全オプション!$F:$F,ROW(E30))),"")</f>
        <v/>
      </c>
      <c r="F32" s="2" t="str">
        <f>IFERROR(INDEX(全オプション!F:F,SMALL(全オプション!$F:$F,ROW(F30))),"")</f>
        <v/>
      </c>
      <c r="G32" s="4"/>
      <c r="H32" s="11" t="str">
        <f>IFERROR(INDEX(全オプション!H:H,SMALL(全オプション!$F:$F,ROW(H30))),"")</f>
        <v/>
      </c>
      <c r="I32" s="11" t="str">
        <f>IFERROR(INDEX(全オプション!I:I,SMALL(全オプション!$F:$F,ROW(I30))),"")</f>
        <v/>
      </c>
      <c r="J32" s="22" t="str">
        <f>IFERROR(INDEX(全オプション!J:J,SMALL(全オプション!$F:$F,ROW(J30))),"")</f>
        <v/>
      </c>
    </row>
    <row r="33" spans="1:10" ht="17.850000000000001" customHeight="1">
      <c r="A33" s="58" t="str">
        <f>IFERROR(INDEX(全オプション!A:A,SMALL(全オプション!$F:$F,ROW(A31))),"")</f>
        <v/>
      </c>
      <c r="B33" s="59" t="str">
        <f>IFERROR(INDEX(全オプション!B:B,SMALL(全オプション!$F:$F,ROW(B31))),"")</f>
        <v/>
      </c>
      <c r="C33" s="60" t="str">
        <f>IFERROR(INDEX(全オプション!C:C,SMALL(全オプション!$F:$F,ROW(C31))),"")</f>
        <v/>
      </c>
      <c r="D33" s="61" t="str">
        <f>IFERROR(INDEX(全オプション!D:D,SMALL(全オプション!$F:$F,ROW(D31))),"")</f>
        <v/>
      </c>
      <c r="E33" s="62" t="str">
        <f>IFERROR(INDEX(全オプション!E:E,SMALL(全オプション!$F:$F,ROW(E31))),"")</f>
        <v/>
      </c>
      <c r="F33" s="2" t="str">
        <f>IFERROR(INDEX(全オプション!F:F,SMALL(全オプション!$F:$F,ROW(F31))),"")</f>
        <v/>
      </c>
      <c r="G33" s="4"/>
      <c r="H33" s="11" t="str">
        <f>IFERROR(INDEX(全オプション!H:H,SMALL(全オプション!$F:$F,ROW(H31))),"")</f>
        <v/>
      </c>
      <c r="I33" s="11" t="str">
        <f>IFERROR(INDEX(全オプション!I:I,SMALL(全オプション!$F:$F,ROW(I31))),"")</f>
        <v/>
      </c>
      <c r="J33" s="22" t="str">
        <f>IFERROR(INDEX(全オプション!J:J,SMALL(全オプション!$F:$F,ROW(J31))),"")</f>
        <v/>
      </c>
    </row>
    <row r="34" spans="1:10" ht="17.850000000000001" customHeight="1">
      <c r="A34" s="58" t="str">
        <f>IFERROR(INDEX(全オプション!A:A,SMALL(全オプション!$F:$F,ROW(A32))),"")</f>
        <v/>
      </c>
      <c r="B34" s="59" t="str">
        <f>IFERROR(INDEX(全オプション!B:B,SMALL(全オプション!$F:$F,ROW(B32))),"")</f>
        <v/>
      </c>
      <c r="C34" s="60" t="str">
        <f>IFERROR(INDEX(全オプション!C:C,SMALL(全オプション!$F:$F,ROW(C32))),"")</f>
        <v/>
      </c>
      <c r="D34" s="61" t="str">
        <f>IFERROR(INDEX(全オプション!D:D,SMALL(全オプション!$F:$F,ROW(D32))),"")</f>
        <v/>
      </c>
      <c r="E34" s="62" t="str">
        <f>IFERROR(INDEX(全オプション!E:E,SMALL(全オプション!$F:$F,ROW(E32))),"")</f>
        <v/>
      </c>
      <c r="F34" s="2" t="str">
        <f>IFERROR(INDEX(全オプション!F:F,SMALL(全オプション!$F:$F,ROW(F32))),"")</f>
        <v/>
      </c>
      <c r="G34" s="4"/>
      <c r="H34" s="11" t="str">
        <f>IFERROR(INDEX(全オプション!H:H,SMALL(全オプション!$F:$F,ROW(H32))),"")</f>
        <v/>
      </c>
      <c r="I34" s="11" t="str">
        <f>IFERROR(INDEX(全オプション!I:I,SMALL(全オプション!$F:$F,ROW(I32))),"")</f>
        <v/>
      </c>
      <c r="J34" s="22" t="str">
        <f>IFERROR(INDEX(全オプション!J:J,SMALL(全オプション!$F:$F,ROW(J32))),"")</f>
        <v/>
      </c>
    </row>
    <row r="35" spans="1:10" ht="17.850000000000001" customHeight="1">
      <c r="A35" s="58" t="str">
        <f>IFERROR(INDEX(全オプション!A:A,SMALL(全オプション!$F:$F,ROW(A33))),"")</f>
        <v/>
      </c>
      <c r="B35" s="59" t="str">
        <f>IFERROR(INDEX(全オプション!B:B,SMALL(全オプション!$F:$F,ROW(B33))),"")</f>
        <v/>
      </c>
      <c r="C35" s="60" t="str">
        <f>IFERROR(INDEX(全オプション!C:C,SMALL(全オプション!$F:$F,ROW(C33))),"")</f>
        <v/>
      </c>
      <c r="D35" s="61" t="str">
        <f>IFERROR(INDEX(全オプション!D:D,SMALL(全オプション!$F:$F,ROW(D33))),"")</f>
        <v/>
      </c>
      <c r="E35" s="62" t="str">
        <f>IFERROR(INDEX(全オプション!E:E,SMALL(全オプション!$F:$F,ROW(E33))),"")</f>
        <v/>
      </c>
      <c r="F35" s="2" t="str">
        <f>IFERROR(INDEX(全オプション!F:F,SMALL(全オプション!$F:$F,ROW(F33))),"")</f>
        <v/>
      </c>
      <c r="G35" s="4"/>
      <c r="H35" s="11" t="str">
        <f>IFERROR(INDEX(全オプション!H:H,SMALL(全オプション!$F:$F,ROW(H33))),"")</f>
        <v/>
      </c>
      <c r="I35" s="11" t="str">
        <f>IFERROR(INDEX(全オプション!I:I,SMALL(全オプション!$F:$F,ROW(I33))),"")</f>
        <v/>
      </c>
      <c r="J35" s="22" t="str">
        <f>IFERROR(INDEX(全オプション!J:J,SMALL(全オプション!$F:$F,ROW(J33))),"")</f>
        <v/>
      </c>
    </row>
    <row r="36" spans="1:10" ht="17.850000000000001" customHeight="1">
      <c r="A36" s="58" t="str">
        <f>IFERROR(INDEX(全オプション!A:A,SMALL(全オプション!$F:$F,ROW(A34))),"")</f>
        <v/>
      </c>
      <c r="B36" s="59" t="str">
        <f>IFERROR(INDEX(全オプション!B:B,SMALL(全オプション!$F:$F,ROW(B34))),"")</f>
        <v/>
      </c>
      <c r="C36" s="60" t="str">
        <f>IFERROR(INDEX(全オプション!C:C,SMALL(全オプション!$F:$F,ROW(C34))),"")</f>
        <v/>
      </c>
      <c r="D36" s="61" t="str">
        <f>IFERROR(INDEX(全オプション!D:D,SMALL(全オプション!$F:$F,ROW(D34))),"")</f>
        <v/>
      </c>
      <c r="E36" s="62" t="str">
        <f>IFERROR(INDEX(全オプション!E:E,SMALL(全オプション!$F:$F,ROW(E34))),"")</f>
        <v/>
      </c>
      <c r="F36" s="2" t="str">
        <f>IFERROR(INDEX(全オプション!F:F,SMALL(全オプション!$F:$F,ROW(F34))),"")</f>
        <v/>
      </c>
      <c r="G36" s="4"/>
      <c r="H36" s="11" t="str">
        <f>IFERROR(INDEX(全オプション!H:H,SMALL(全オプション!$F:$F,ROW(H34))),"")</f>
        <v/>
      </c>
      <c r="I36" s="11" t="str">
        <f>IFERROR(INDEX(全オプション!I:I,SMALL(全オプション!$F:$F,ROW(I34))),"")</f>
        <v/>
      </c>
      <c r="J36" s="22" t="str">
        <f>IFERROR(INDEX(全オプション!J:J,SMALL(全オプション!$F:$F,ROW(J34))),"")</f>
        <v/>
      </c>
    </row>
    <row r="37" spans="1:10" ht="17.850000000000001" customHeight="1">
      <c r="A37" s="58" t="str">
        <f>IFERROR(INDEX(全オプション!A:A,SMALL(全オプション!$F:$F,ROW(A35))),"")</f>
        <v/>
      </c>
      <c r="B37" s="59" t="str">
        <f>IFERROR(INDEX(全オプション!B:B,SMALL(全オプション!$F:$F,ROW(B35))),"")</f>
        <v/>
      </c>
      <c r="C37" s="60" t="str">
        <f>IFERROR(INDEX(全オプション!C:C,SMALL(全オプション!$F:$F,ROW(C35))),"")</f>
        <v/>
      </c>
      <c r="D37" s="61" t="str">
        <f>IFERROR(INDEX(全オプション!D:D,SMALL(全オプション!$F:$F,ROW(D35))),"")</f>
        <v/>
      </c>
      <c r="E37" s="62" t="str">
        <f>IFERROR(INDEX(全オプション!E:E,SMALL(全オプション!$F:$F,ROW(E35))),"")</f>
        <v/>
      </c>
      <c r="F37" s="2" t="str">
        <f>IFERROR(INDEX(全オプション!F:F,SMALL(全オプション!$F:$F,ROW(F35))),"")</f>
        <v/>
      </c>
      <c r="G37" s="4"/>
      <c r="H37" s="11" t="str">
        <f>IFERROR(INDEX(全オプション!H:H,SMALL(全オプション!$F:$F,ROW(H35))),"")</f>
        <v/>
      </c>
      <c r="I37" s="11" t="str">
        <f>IFERROR(INDEX(全オプション!I:I,SMALL(全オプション!$F:$F,ROW(I35))),"")</f>
        <v/>
      </c>
      <c r="J37" s="22" t="str">
        <f>IFERROR(INDEX(全オプション!J:J,SMALL(全オプション!$F:$F,ROW(J35))),"")</f>
        <v/>
      </c>
    </row>
    <row r="38" spans="1:10" ht="17.850000000000001" customHeight="1">
      <c r="A38" s="58" t="str">
        <f>IFERROR(INDEX(全オプション!A:A,SMALL(全オプション!$F:$F,ROW(A36))),"")</f>
        <v/>
      </c>
      <c r="B38" s="59" t="str">
        <f>IFERROR(INDEX(全オプション!B:B,SMALL(全オプション!$F:$F,ROW(B36))),"")</f>
        <v/>
      </c>
      <c r="C38" s="60" t="str">
        <f>IFERROR(INDEX(全オプション!C:C,SMALL(全オプション!$F:$F,ROW(C36))),"")</f>
        <v/>
      </c>
      <c r="D38" s="61" t="str">
        <f>IFERROR(INDEX(全オプション!D:D,SMALL(全オプション!$F:$F,ROW(D36))),"")</f>
        <v/>
      </c>
      <c r="E38" s="62" t="str">
        <f>IFERROR(INDEX(全オプション!E:E,SMALL(全オプション!$F:$F,ROW(E36))),"")</f>
        <v/>
      </c>
      <c r="F38" s="2" t="str">
        <f>IFERROR(INDEX(全オプション!F:F,SMALL(全オプション!$F:$F,ROW(F36))),"")</f>
        <v/>
      </c>
      <c r="G38" s="4"/>
      <c r="H38" s="11" t="str">
        <f>IFERROR(INDEX(全オプション!H:H,SMALL(全オプション!$F:$F,ROW(H36))),"")</f>
        <v/>
      </c>
      <c r="I38" s="11" t="str">
        <f>IFERROR(INDEX(全オプション!I:I,SMALL(全オプション!$F:$F,ROW(I36))),"")</f>
        <v/>
      </c>
      <c r="J38" s="22" t="str">
        <f>IFERROR(INDEX(全オプション!J:J,SMALL(全オプション!$F:$F,ROW(J36))),"")</f>
        <v/>
      </c>
    </row>
    <row r="39" spans="1:10" ht="17.850000000000001" customHeight="1">
      <c r="A39" s="58" t="str">
        <f>IFERROR(INDEX(全オプション!A:A,SMALL(全オプション!$F:$F,ROW(A37))),"")</f>
        <v/>
      </c>
      <c r="B39" s="59" t="str">
        <f>IFERROR(INDEX(全オプション!B:B,SMALL(全オプション!$F:$F,ROW(B37))),"")</f>
        <v/>
      </c>
      <c r="C39" s="60" t="str">
        <f>IFERROR(INDEX(全オプション!C:C,SMALL(全オプション!$F:$F,ROW(C37))),"")</f>
        <v/>
      </c>
      <c r="D39" s="61" t="str">
        <f>IFERROR(INDEX(全オプション!D:D,SMALL(全オプション!$F:$F,ROW(D37))),"")</f>
        <v/>
      </c>
      <c r="E39" s="62" t="str">
        <f>IFERROR(INDEX(全オプション!E:E,SMALL(全オプション!$F:$F,ROW(E37))),"")</f>
        <v/>
      </c>
      <c r="F39" s="2" t="str">
        <f>IFERROR(INDEX(全オプション!F:F,SMALL(全オプション!$F:$F,ROW(F37))),"")</f>
        <v/>
      </c>
      <c r="G39" s="4"/>
      <c r="H39" s="11" t="str">
        <f>IFERROR(INDEX(全オプション!H:H,SMALL(全オプション!$F:$F,ROW(H37))),"")</f>
        <v/>
      </c>
      <c r="I39" s="11" t="str">
        <f>IFERROR(INDEX(全オプション!I:I,SMALL(全オプション!$F:$F,ROW(I37))),"")</f>
        <v/>
      </c>
      <c r="J39" s="22" t="str">
        <f>IFERROR(INDEX(全オプション!J:J,SMALL(全オプション!$F:$F,ROW(J37))),"")</f>
        <v/>
      </c>
    </row>
    <row r="40" spans="1:10" ht="17.850000000000001" customHeight="1">
      <c r="A40" s="58" t="str">
        <f>IFERROR(INDEX(全オプション!A:A,SMALL(全オプション!$F:$F,ROW(A38))),"")</f>
        <v/>
      </c>
      <c r="B40" s="59" t="str">
        <f>IFERROR(INDEX(全オプション!B:B,SMALL(全オプション!$F:$F,ROW(B38))),"")</f>
        <v/>
      </c>
      <c r="C40" s="60" t="str">
        <f>IFERROR(INDEX(全オプション!C:C,SMALL(全オプション!$F:$F,ROW(C38))),"")</f>
        <v/>
      </c>
      <c r="D40" s="61" t="str">
        <f>IFERROR(INDEX(全オプション!D:D,SMALL(全オプション!$F:$F,ROW(D38))),"")</f>
        <v/>
      </c>
      <c r="E40" s="62" t="str">
        <f>IFERROR(INDEX(全オプション!E:E,SMALL(全オプション!$F:$F,ROW(E38))),"")</f>
        <v/>
      </c>
      <c r="F40" s="2" t="str">
        <f>IFERROR(INDEX(全オプション!F:F,SMALL(全オプション!$F:$F,ROW(F38))),"")</f>
        <v/>
      </c>
      <c r="G40" s="4"/>
      <c r="H40" s="11" t="str">
        <f>IFERROR(INDEX(全オプション!H:H,SMALL(全オプション!$F:$F,ROW(H38))),"")</f>
        <v/>
      </c>
      <c r="I40" s="11" t="str">
        <f>IFERROR(INDEX(全オプション!I:I,SMALL(全オプション!$F:$F,ROW(I38))),"")</f>
        <v/>
      </c>
      <c r="J40" s="22" t="str">
        <f>IFERROR(INDEX(全オプション!J:J,SMALL(全オプション!$F:$F,ROW(J38))),"")</f>
        <v/>
      </c>
    </row>
    <row r="41" spans="1:10" ht="17.850000000000001" customHeight="1">
      <c r="A41" s="58" t="str">
        <f>IFERROR(INDEX(全オプション!A:A,SMALL(全オプション!$F:$F,ROW(A39))),"")</f>
        <v/>
      </c>
      <c r="B41" s="59" t="str">
        <f>IFERROR(INDEX(全オプション!B:B,SMALL(全オプション!$F:$F,ROW(B39))),"")</f>
        <v/>
      </c>
      <c r="C41" s="60" t="str">
        <f>IFERROR(INDEX(全オプション!C:C,SMALL(全オプション!$F:$F,ROW(C39))),"")</f>
        <v/>
      </c>
      <c r="D41" s="61" t="str">
        <f>IFERROR(INDEX(全オプション!D:D,SMALL(全オプション!$F:$F,ROW(D39))),"")</f>
        <v/>
      </c>
      <c r="E41" s="62" t="str">
        <f>IFERROR(INDEX(全オプション!E:E,SMALL(全オプション!$F:$F,ROW(E39))),"")</f>
        <v/>
      </c>
      <c r="F41" s="2" t="str">
        <f>IFERROR(INDEX(全オプション!F:F,SMALL(全オプション!$F:$F,ROW(F39))),"")</f>
        <v/>
      </c>
      <c r="G41" s="4"/>
      <c r="H41" s="11" t="str">
        <f>IFERROR(INDEX(全オプション!H:H,SMALL(全オプション!$F:$F,ROW(H39))),"")</f>
        <v/>
      </c>
      <c r="I41" s="11" t="str">
        <f>IFERROR(INDEX(全オプション!I:I,SMALL(全オプション!$F:$F,ROW(I39))),"")</f>
        <v/>
      </c>
      <c r="J41" s="22" t="str">
        <f>IFERROR(INDEX(全オプション!J:J,SMALL(全オプション!$F:$F,ROW(J39))),"")</f>
        <v/>
      </c>
    </row>
    <row r="42" spans="1:10" ht="17.850000000000001" customHeight="1">
      <c r="A42" s="21" t="str">
        <f>IFERROR(INDEX(全オプション!A:A,SMALL(全オプション!$F:$F,ROW(A40))),"")</f>
        <v/>
      </c>
      <c r="B42" s="20" t="str">
        <f>IFERROR(INDEX(全オプション!B:B,SMALL(全オプション!$F:$F,ROW(B40))),"")</f>
        <v/>
      </c>
      <c r="C42" s="9" t="str">
        <f>IFERROR(INDEX(全オプション!C:C,SMALL(全オプション!$F:$F,ROW(C40))),"")</f>
        <v/>
      </c>
      <c r="D42" s="18" t="str">
        <f>IFERROR(INDEX(全オプション!D:D,SMALL(全オプション!$F:$F,ROW(D40))),"")</f>
        <v/>
      </c>
      <c r="E42" s="19" t="str">
        <f>IFERROR(INDEX(全オプション!E:E,SMALL(全オプション!$F:$F,ROW(E40))),"")</f>
        <v/>
      </c>
      <c r="F42" s="2" t="str">
        <f>IFERROR(INDEX(全オプション!F:F,SMALL(全オプション!$F:$F,ROW(F40))),"")</f>
        <v/>
      </c>
      <c r="G42" s="4"/>
      <c r="H42" s="11" t="str">
        <f>IFERROR(INDEX(全オプション!H:H,SMALL(全オプション!$F:$F,ROW(H40))),"")</f>
        <v/>
      </c>
      <c r="I42" s="11" t="str">
        <f>IFERROR(INDEX(全オプション!I:I,SMALL(全オプション!$F:$F,ROW(I40))),"")</f>
        <v/>
      </c>
      <c r="J42" s="22" t="str">
        <f>IFERROR(INDEX(全オプション!J:J,SMALL(全オプション!$F:$F,ROW(J40))),"")</f>
        <v/>
      </c>
    </row>
    <row r="43" spans="1:10" ht="17.850000000000001" customHeight="1">
      <c r="A43" s="21" t="str">
        <f>IFERROR(INDEX(全オプション!A:A,SMALL(全オプション!$F:$F,ROW(A41))),"")</f>
        <v/>
      </c>
      <c r="B43" s="20" t="str">
        <f>IFERROR(INDEX(全オプション!B:B,SMALL(全オプション!$F:$F,ROW(B41))),"")</f>
        <v/>
      </c>
      <c r="C43" s="9" t="str">
        <f>IFERROR(INDEX(全オプション!C:C,SMALL(全オプション!$F:$F,ROW(C41))),"")</f>
        <v/>
      </c>
      <c r="D43" s="18" t="str">
        <f>IFERROR(INDEX(全オプション!D:D,SMALL(全オプション!$F:$F,ROW(D41))),"")</f>
        <v/>
      </c>
      <c r="E43" s="19" t="str">
        <f>IFERROR(INDEX(全オプション!E:E,SMALL(全オプション!$F:$F,ROW(E41))),"")</f>
        <v/>
      </c>
      <c r="F43" s="2" t="str">
        <f>IFERROR(INDEX(全オプション!F:F,SMALL(全オプション!$F:$F,ROW(F41))),"")</f>
        <v/>
      </c>
      <c r="G43" s="4"/>
      <c r="H43" s="11" t="str">
        <f>IFERROR(INDEX(全オプション!H:H,SMALL(全オプション!$F:$F,ROW(H41))),"")</f>
        <v/>
      </c>
      <c r="I43" s="11" t="str">
        <f>IFERROR(INDEX(全オプション!I:I,SMALL(全オプション!$F:$F,ROW(I41))),"")</f>
        <v/>
      </c>
      <c r="J43" s="22" t="str">
        <f>IFERROR(INDEX(全オプション!J:J,SMALL(全オプション!$F:$F,ROW(J41))),"")</f>
        <v/>
      </c>
    </row>
    <row r="44" spans="1:10" ht="17.850000000000001" customHeight="1">
      <c r="A44" s="21" t="str">
        <f>IFERROR(INDEX(全オプション!A:A,SMALL(全オプション!$F:$F,ROW(A42))),"")</f>
        <v/>
      </c>
      <c r="B44" s="20" t="str">
        <f>IFERROR(INDEX(全オプション!B:B,SMALL(全オプション!$F:$F,ROW(B42))),"")</f>
        <v/>
      </c>
      <c r="C44" s="9" t="str">
        <f>IFERROR(INDEX(全オプション!C:C,SMALL(全オプション!$F:$F,ROW(C42))),"")</f>
        <v/>
      </c>
      <c r="D44" s="18" t="str">
        <f>IFERROR(INDEX(全オプション!D:D,SMALL(全オプション!$F:$F,ROW(D42))),"")</f>
        <v/>
      </c>
      <c r="E44" s="19" t="str">
        <f>IFERROR(INDEX(全オプション!E:E,SMALL(全オプション!$F:$F,ROW(E42))),"")</f>
        <v/>
      </c>
      <c r="F44" s="2" t="str">
        <f>IFERROR(INDEX(全オプション!F:F,SMALL(全オプション!$F:$F,ROW(F42))),"")</f>
        <v/>
      </c>
      <c r="G44" s="4"/>
      <c r="H44" s="11" t="str">
        <f>IFERROR(INDEX(全オプション!H:H,SMALL(全オプション!$F:$F,ROW(H42))),"")</f>
        <v/>
      </c>
      <c r="I44" s="11" t="str">
        <f>IFERROR(INDEX(全オプション!I:I,SMALL(全オプション!$F:$F,ROW(I42))),"")</f>
        <v/>
      </c>
      <c r="J44" s="22" t="str">
        <f>IFERROR(INDEX(全オプション!J:J,SMALL(全オプション!$F:$F,ROW(J42))),"")</f>
        <v/>
      </c>
    </row>
    <row r="45" spans="1:10" ht="17.850000000000001" customHeight="1">
      <c r="A45" s="21" t="str">
        <f>IFERROR(INDEX(全オプション!A:A,SMALL(全オプション!$F:$F,ROW(A43))),"")</f>
        <v/>
      </c>
      <c r="B45" s="20" t="str">
        <f>IFERROR(INDEX(全オプション!B:B,SMALL(全オプション!$F:$F,ROW(B43))),"")</f>
        <v/>
      </c>
      <c r="C45" s="9" t="str">
        <f>IFERROR(INDEX(全オプション!C:C,SMALL(全オプション!$F:$F,ROW(C43))),"")</f>
        <v/>
      </c>
      <c r="D45" s="18" t="str">
        <f>IFERROR(INDEX(全オプション!D:D,SMALL(全オプション!$F:$F,ROW(D43))),"")</f>
        <v/>
      </c>
      <c r="E45" s="19" t="str">
        <f>IFERROR(INDEX(全オプション!E:E,SMALL(全オプション!$F:$F,ROW(E43))),"")</f>
        <v/>
      </c>
      <c r="F45" s="2" t="str">
        <f>IFERROR(INDEX(全オプション!F:F,SMALL(全オプション!$F:$F,ROW(F43))),"")</f>
        <v/>
      </c>
      <c r="G45" s="4"/>
      <c r="H45" s="11" t="str">
        <f>IFERROR(INDEX(全オプション!H:H,SMALL(全オプション!$F:$F,ROW(H43))),"")</f>
        <v/>
      </c>
      <c r="I45" s="11" t="str">
        <f>IFERROR(INDEX(全オプション!I:I,SMALL(全オプション!$F:$F,ROW(I43))),"")</f>
        <v/>
      </c>
      <c r="J45" s="22" t="str">
        <f>IFERROR(INDEX(全オプション!J:J,SMALL(全オプション!$F:$F,ROW(J43))),"")</f>
        <v/>
      </c>
    </row>
    <row r="46" spans="1:10" ht="17.850000000000001" customHeight="1">
      <c r="A46" s="21" t="str">
        <f>IFERROR(INDEX(全オプション!A:A,SMALL(全オプション!$F:$F,ROW(A44))),"")</f>
        <v/>
      </c>
      <c r="B46" s="20" t="str">
        <f>IFERROR(INDEX(全オプション!B:B,SMALL(全オプション!$F:$F,ROW(B44))),"")</f>
        <v/>
      </c>
      <c r="C46" s="9" t="str">
        <f>IFERROR(INDEX(全オプション!C:C,SMALL(全オプション!$F:$F,ROW(C44))),"")</f>
        <v/>
      </c>
      <c r="D46" s="18" t="str">
        <f>IFERROR(INDEX(全オプション!D:D,SMALL(全オプション!$F:$F,ROW(D44))),"")</f>
        <v/>
      </c>
      <c r="E46" s="19" t="str">
        <f>IFERROR(INDEX(全オプション!E:E,SMALL(全オプション!$F:$F,ROW(E44))),"")</f>
        <v/>
      </c>
      <c r="F46" s="2" t="str">
        <f>IFERROR(INDEX(全オプション!F:F,SMALL(全オプション!$F:$F,ROW(F44))),"")</f>
        <v/>
      </c>
      <c r="G46" s="4"/>
      <c r="H46" s="11" t="str">
        <f>IFERROR(INDEX(全オプション!H:H,SMALL(全オプション!$F:$F,ROW(H44))),"")</f>
        <v/>
      </c>
      <c r="I46" s="11" t="str">
        <f>IFERROR(INDEX(全オプション!I:I,SMALL(全オプション!$F:$F,ROW(I44))),"")</f>
        <v/>
      </c>
      <c r="J46" s="22" t="str">
        <f>IFERROR(INDEX(全オプション!J:J,SMALL(全オプション!$F:$F,ROW(J44))),"")</f>
        <v/>
      </c>
    </row>
    <row r="47" spans="1:10" ht="17.850000000000001" customHeight="1">
      <c r="A47" s="21" t="str">
        <f>IFERROR(INDEX(全オプション!A:A,SMALL(全オプション!$F:$F,ROW(A45))),"")</f>
        <v/>
      </c>
      <c r="B47" s="20" t="str">
        <f>IFERROR(INDEX(全オプション!B:B,SMALL(全オプション!$F:$F,ROW(B45))),"")</f>
        <v/>
      </c>
      <c r="C47" s="9" t="str">
        <f>IFERROR(INDEX(全オプション!C:C,SMALL(全オプション!$F:$F,ROW(C45))),"")</f>
        <v/>
      </c>
      <c r="D47" s="18" t="str">
        <f>IFERROR(INDEX(全オプション!D:D,SMALL(全オプション!$F:$F,ROW(D45))),"")</f>
        <v/>
      </c>
      <c r="E47" s="19" t="str">
        <f>IFERROR(INDEX(全オプション!E:E,SMALL(全オプション!$F:$F,ROW(E45))),"")</f>
        <v/>
      </c>
      <c r="F47" s="2" t="str">
        <f>IFERROR(INDEX(全オプション!F:F,SMALL(全オプション!$F:$F,ROW(F45))),"")</f>
        <v/>
      </c>
      <c r="G47" s="4"/>
      <c r="H47" s="11" t="str">
        <f>IFERROR(INDEX(全オプション!H:H,SMALL(全オプション!$F:$F,ROW(H45))),"")</f>
        <v/>
      </c>
      <c r="I47" s="11" t="str">
        <f>IFERROR(INDEX(全オプション!I:I,SMALL(全オプション!$F:$F,ROW(I45))),"")</f>
        <v/>
      </c>
      <c r="J47" s="22" t="str">
        <f>IFERROR(INDEX(全オプション!J:J,SMALL(全オプション!$F:$F,ROW(J45))),"")</f>
        <v/>
      </c>
    </row>
    <row r="48" spans="1:10" ht="17.850000000000001" customHeight="1">
      <c r="A48" s="21" t="str">
        <f>IFERROR(INDEX(全オプション!A:A,SMALL(全オプション!$F:$F,ROW(A46))),"")</f>
        <v/>
      </c>
      <c r="B48" s="20" t="str">
        <f>IFERROR(INDEX(全オプション!B:B,SMALL(全オプション!$F:$F,ROW(B46))),"")</f>
        <v/>
      </c>
      <c r="C48" s="9" t="str">
        <f>IFERROR(INDEX(全オプション!C:C,SMALL(全オプション!$F:$F,ROW(C46))),"")</f>
        <v/>
      </c>
      <c r="D48" s="18" t="str">
        <f>IFERROR(INDEX(全オプション!D:D,SMALL(全オプション!$F:$F,ROW(D46))),"")</f>
        <v/>
      </c>
      <c r="E48" s="19" t="str">
        <f>IFERROR(INDEX(全オプション!E:E,SMALL(全オプション!$F:$F,ROW(E46))),"")</f>
        <v/>
      </c>
      <c r="F48" s="2" t="str">
        <f>IFERROR(INDEX(全オプション!F:F,SMALL(全オプション!$F:$F,ROW(F46))),"")</f>
        <v/>
      </c>
      <c r="G48" s="4"/>
      <c r="H48" s="11" t="str">
        <f>IFERROR(INDEX(全オプション!H:H,SMALL(全オプション!$F:$F,ROW(H46))),"")</f>
        <v/>
      </c>
      <c r="I48" s="11" t="str">
        <f>IFERROR(INDEX(全オプション!I:I,SMALL(全オプション!$F:$F,ROW(I46))),"")</f>
        <v/>
      </c>
      <c r="J48" s="22" t="str">
        <f>IFERROR(INDEX(全オプション!J:J,SMALL(全オプション!$F:$F,ROW(J46))),"")</f>
        <v/>
      </c>
    </row>
    <row r="49" spans="1:10" ht="17.850000000000001" customHeight="1">
      <c r="A49" s="21" t="str">
        <f>IFERROR(INDEX(全オプション!A:A,SMALL(全オプション!$F:$F,ROW(A47))),"")</f>
        <v/>
      </c>
      <c r="B49" s="20" t="str">
        <f>IFERROR(INDEX(全オプション!B:B,SMALL(全オプション!$F:$F,ROW(B47))),"")</f>
        <v/>
      </c>
      <c r="C49" s="9" t="str">
        <f>IFERROR(INDEX(全オプション!C:C,SMALL(全オプション!$F:$F,ROW(C47))),"")</f>
        <v/>
      </c>
      <c r="D49" s="18" t="str">
        <f>IFERROR(INDEX(全オプション!D:D,SMALL(全オプション!$F:$F,ROW(D47))),"")</f>
        <v/>
      </c>
      <c r="E49" s="19" t="str">
        <f>IFERROR(INDEX(全オプション!E:E,SMALL(全オプション!$F:$F,ROW(E47))),"")</f>
        <v/>
      </c>
      <c r="F49" s="2" t="str">
        <f>IFERROR(INDEX(全オプション!F:F,SMALL(全オプション!$F:$F,ROW(F47))),"")</f>
        <v/>
      </c>
      <c r="G49" s="4"/>
      <c r="H49" s="11" t="str">
        <f>IFERROR(INDEX(全オプション!H:H,SMALL(全オプション!$F:$F,ROW(H47))),"")</f>
        <v/>
      </c>
      <c r="I49" s="11" t="str">
        <f>IFERROR(INDEX(全オプション!I:I,SMALL(全オプション!$F:$F,ROW(I47))),"")</f>
        <v/>
      </c>
      <c r="J49" s="22" t="str">
        <f>IFERROR(INDEX(全オプション!J:J,SMALL(全オプション!$F:$F,ROW(J47))),"")</f>
        <v/>
      </c>
    </row>
    <row r="50" spans="1:10" ht="17.850000000000001" customHeight="1">
      <c r="A50" s="21" t="str">
        <f>IFERROR(INDEX(全オプション!A:A,SMALL(全オプション!$F:$F,ROW(A48))),"")</f>
        <v/>
      </c>
      <c r="B50" s="20" t="str">
        <f>IFERROR(INDEX(全オプション!B:B,SMALL(全オプション!$F:$F,ROW(B48))),"")</f>
        <v/>
      </c>
      <c r="C50" s="9" t="str">
        <f>IFERROR(INDEX(全オプション!C:C,SMALL(全オプション!$F:$F,ROW(C48))),"")</f>
        <v/>
      </c>
      <c r="D50" s="18" t="str">
        <f>IFERROR(INDEX(全オプション!D:D,SMALL(全オプション!$F:$F,ROW(D48))),"")</f>
        <v/>
      </c>
      <c r="E50" s="19" t="str">
        <f>IFERROR(INDEX(全オプション!E:E,SMALL(全オプション!$F:$F,ROW(E48))),"")</f>
        <v/>
      </c>
      <c r="F50" s="2" t="str">
        <f>IFERROR(INDEX(全オプション!F:F,SMALL(全オプション!$F:$F,ROW(F48))),"")</f>
        <v/>
      </c>
      <c r="G50" s="4"/>
      <c r="H50" s="11" t="str">
        <f>IFERROR(INDEX(全オプション!H:H,SMALL(全オプション!$F:$F,ROW(H48))),"")</f>
        <v/>
      </c>
      <c r="I50" s="11" t="str">
        <f>IFERROR(INDEX(全オプション!I:I,SMALL(全オプション!$F:$F,ROW(I48))),"")</f>
        <v/>
      </c>
      <c r="J50" s="22" t="str">
        <f>IFERROR(INDEX(全オプション!J:J,SMALL(全オプション!$F:$F,ROW(J48))),"")</f>
        <v/>
      </c>
    </row>
    <row r="51" spans="1:10" ht="17.850000000000001" customHeight="1">
      <c r="A51" s="21" t="str">
        <f>IFERROR(INDEX(全オプション!A:A,SMALL(全オプション!$F:$F,ROW(A49))),"")</f>
        <v/>
      </c>
      <c r="B51" s="20" t="str">
        <f>IFERROR(INDEX(全オプション!B:B,SMALL(全オプション!$F:$F,ROW(B49))),"")</f>
        <v/>
      </c>
      <c r="C51" s="9" t="str">
        <f>IFERROR(INDEX(全オプション!C:C,SMALL(全オプション!$F:$F,ROW(C49))),"")</f>
        <v/>
      </c>
      <c r="D51" s="18" t="str">
        <f>IFERROR(INDEX(全オプション!D:D,SMALL(全オプション!$F:$F,ROW(D49))),"")</f>
        <v/>
      </c>
      <c r="E51" s="19" t="str">
        <f>IFERROR(INDEX(全オプション!E:E,SMALL(全オプション!$F:$F,ROW(E49))),"")</f>
        <v/>
      </c>
      <c r="F51" s="2" t="str">
        <f>IFERROR(INDEX(全オプション!F:F,SMALL(全オプション!$F:$F,ROW(F49))),"")</f>
        <v/>
      </c>
      <c r="G51" s="4"/>
      <c r="H51" s="11" t="str">
        <f>IFERROR(INDEX(全オプション!H:H,SMALL(全オプション!$F:$F,ROW(H49))),"")</f>
        <v/>
      </c>
      <c r="I51" s="11" t="str">
        <f>IFERROR(INDEX(全オプション!I:I,SMALL(全オプション!$F:$F,ROW(I49))),"")</f>
        <v/>
      </c>
      <c r="J51" s="22" t="str">
        <f>IFERROR(INDEX(全オプション!J:J,SMALL(全オプション!$F:$F,ROW(J49))),"")</f>
        <v/>
      </c>
    </row>
    <row r="52" spans="1:10" ht="17.850000000000001" customHeight="1">
      <c r="A52" s="21" t="str">
        <f>IFERROR(INDEX(全オプション!A:A,SMALL(全オプション!$F:$F,ROW(A50))),"")</f>
        <v/>
      </c>
      <c r="B52" s="20" t="str">
        <f>IFERROR(INDEX(全オプション!B:B,SMALL(全オプション!$F:$F,ROW(B50))),"")</f>
        <v/>
      </c>
      <c r="C52" s="9" t="str">
        <f>IFERROR(INDEX(全オプション!C:C,SMALL(全オプション!$F:$F,ROW(C50))),"")</f>
        <v/>
      </c>
      <c r="D52" s="18" t="str">
        <f>IFERROR(INDEX(全オプション!D:D,SMALL(全オプション!$F:$F,ROW(D50))),"")</f>
        <v/>
      </c>
      <c r="E52" s="19" t="str">
        <f>IFERROR(INDEX(全オプション!E:E,SMALL(全オプション!$F:$F,ROW(E50))),"")</f>
        <v/>
      </c>
      <c r="F52" s="2" t="str">
        <f>IFERROR(INDEX(全オプション!F:F,SMALL(全オプション!$F:$F,ROW(F50))),"")</f>
        <v/>
      </c>
      <c r="G52" s="4"/>
      <c r="H52" s="11" t="str">
        <f>IFERROR(INDEX(全オプション!H:H,SMALL(全オプション!$F:$F,ROW(H50))),"")</f>
        <v/>
      </c>
      <c r="I52" s="11" t="str">
        <f>IFERROR(INDEX(全オプション!I:I,SMALL(全オプション!$F:$F,ROW(I50))),"")</f>
        <v/>
      </c>
      <c r="J52" s="22" t="str">
        <f>IFERROR(INDEX(全オプション!J:J,SMALL(全オプション!$F:$F,ROW(J50))),"")</f>
        <v/>
      </c>
    </row>
    <row r="53" spans="1:10" ht="17.850000000000001" customHeight="1">
      <c r="A53" s="21" t="str">
        <f>IFERROR(INDEX(全オプション!A:A,SMALL(全オプション!$F:$F,ROW(A51))),"")</f>
        <v/>
      </c>
      <c r="B53" s="20" t="str">
        <f>IFERROR(INDEX(全オプション!B:B,SMALL(全オプション!$F:$F,ROW(B51))),"")</f>
        <v/>
      </c>
      <c r="C53" s="9" t="str">
        <f>IFERROR(INDEX(全オプション!C:C,SMALL(全オプション!$F:$F,ROW(C51))),"")</f>
        <v/>
      </c>
      <c r="D53" s="18" t="str">
        <f>IFERROR(INDEX(全オプション!D:D,SMALL(全オプション!$F:$F,ROW(D51))),"")</f>
        <v/>
      </c>
      <c r="E53" s="19" t="str">
        <f>IFERROR(INDEX(全オプション!E:E,SMALL(全オプション!$F:$F,ROW(E51))),"")</f>
        <v/>
      </c>
      <c r="F53" s="2" t="str">
        <f>IFERROR(INDEX(全オプション!F:F,SMALL(全オプション!$F:$F,ROW(F51))),"")</f>
        <v/>
      </c>
      <c r="G53" s="4"/>
      <c r="H53" s="11" t="str">
        <f>IFERROR(INDEX(全オプション!H:H,SMALL(全オプション!$F:$F,ROW(H51))),"")</f>
        <v/>
      </c>
      <c r="I53" s="11" t="str">
        <f>IFERROR(INDEX(全オプション!I:I,SMALL(全オプション!$F:$F,ROW(I51))),"")</f>
        <v/>
      </c>
      <c r="J53" s="22" t="str">
        <f>IFERROR(INDEX(全オプション!J:J,SMALL(全オプション!$F:$F,ROW(J51))),"")</f>
        <v/>
      </c>
    </row>
    <row r="54" spans="1:10" ht="17.850000000000001" customHeight="1">
      <c r="A54" s="21" t="str">
        <f>IFERROR(INDEX(全オプション!A:A,SMALL(全オプション!$F:$F,ROW(A52))),"")</f>
        <v/>
      </c>
      <c r="B54" s="20" t="str">
        <f>IFERROR(INDEX(全オプション!B:B,SMALL(全オプション!$F:$F,ROW(B52))),"")</f>
        <v/>
      </c>
      <c r="C54" s="9" t="str">
        <f>IFERROR(INDEX(全オプション!C:C,SMALL(全オプション!$F:$F,ROW(C52))),"")</f>
        <v/>
      </c>
      <c r="D54" s="18" t="str">
        <f>IFERROR(INDEX(全オプション!D:D,SMALL(全オプション!$F:$F,ROW(D52))),"")</f>
        <v/>
      </c>
      <c r="E54" s="19" t="str">
        <f>IFERROR(INDEX(全オプション!E:E,SMALL(全オプション!$F:$F,ROW(E52))),"")</f>
        <v/>
      </c>
      <c r="F54" s="2" t="str">
        <f>IFERROR(INDEX(全オプション!F:F,SMALL(全オプション!$F:$F,ROW(F52))),"")</f>
        <v/>
      </c>
      <c r="G54" s="4"/>
      <c r="H54" s="11" t="str">
        <f>IFERROR(INDEX(全オプション!H:H,SMALL(全オプション!$F:$F,ROW(H52))),"")</f>
        <v/>
      </c>
      <c r="I54" s="11" t="str">
        <f>IFERROR(INDEX(全オプション!I:I,SMALL(全オプション!$F:$F,ROW(I52))),"")</f>
        <v/>
      </c>
      <c r="J54" s="22" t="str">
        <f>IFERROR(INDEX(全オプション!J:J,SMALL(全オプション!$F:$F,ROW(J52))),"")</f>
        <v/>
      </c>
    </row>
    <row r="55" spans="1:10" ht="17.850000000000001" customHeight="1">
      <c r="A55" s="21" t="str">
        <f>IFERROR(INDEX(全オプション!A:A,SMALL(全オプション!$F:$F,ROW(A53))),"")</f>
        <v/>
      </c>
      <c r="B55" s="20" t="str">
        <f>IFERROR(INDEX(全オプション!B:B,SMALL(全オプション!$F:$F,ROW(B53))),"")</f>
        <v/>
      </c>
      <c r="C55" s="9" t="str">
        <f>IFERROR(INDEX(全オプション!C:C,SMALL(全オプション!$F:$F,ROW(C53))),"")</f>
        <v/>
      </c>
      <c r="D55" s="18" t="str">
        <f>IFERROR(INDEX(全オプション!D:D,SMALL(全オプション!$F:$F,ROW(D53))),"")</f>
        <v/>
      </c>
      <c r="E55" s="19" t="str">
        <f>IFERROR(INDEX(全オプション!E:E,SMALL(全オプション!$F:$F,ROW(E53))),"")</f>
        <v/>
      </c>
      <c r="F55" s="2" t="str">
        <f>IFERROR(INDEX(全オプション!F:F,SMALL(全オプション!$F:$F,ROW(F53))),"")</f>
        <v/>
      </c>
      <c r="G55" s="4"/>
      <c r="H55" s="11" t="str">
        <f>IFERROR(INDEX(全オプション!H:H,SMALL(全オプション!$F:$F,ROW(H53))),"")</f>
        <v/>
      </c>
      <c r="I55" s="11" t="str">
        <f>IFERROR(INDEX(全オプション!I:I,SMALL(全オプション!$F:$F,ROW(I53))),"")</f>
        <v/>
      </c>
      <c r="J55" s="22" t="str">
        <f>IFERROR(INDEX(全オプション!J:J,SMALL(全オプション!$F:$F,ROW(J53))),"")</f>
        <v/>
      </c>
    </row>
    <row r="56" spans="1:10" ht="17.850000000000001" customHeight="1">
      <c r="A56" s="21" t="str">
        <f>IFERROR(INDEX(全オプション!A:A,SMALL(全オプション!$F:$F,ROW(A54))),"")</f>
        <v/>
      </c>
      <c r="B56" s="20" t="str">
        <f>IFERROR(INDEX(全オプション!B:B,SMALL(全オプション!$F:$F,ROW(B54))),"")</f>
        <v/>
      </c>
      <c r="C56" s="9" t="str">
        <f>IFERROR(INDEX(全オプション!C:C,SMALL(全オプション!$F:$F,ROW(C54))),"")</f>
        <v/>
      </c>
      <c r="D56" s="18" t="str">
        <f>IFERROR(INDEX(全オプション!D:D,SMALL(全オプション!$F:$F,ROW(D54))),"")</f>
        <v/>
      </c>
      <c r="E56" s="19" t="str">
        <f>IFERROR(INDEX(全オプション!E:E,SMALL(全オプション!$F:$F,ROW(E54))),"")</f>
        <v/>
      </c>
      <c r="F56" s="2" t="str">
        <f>IFERROR(INDEX(全オプション!F:F,SMALL(全オプション!$F:$F,ROW(F54))),"")</f>
        <v/>
      </c>
      <c r="G56" s="4"/>
      <c r="H56" s="11" t="str">
        <f>IFERROR(INDEX(全オプション!H:H,SMALL(全オプション!$F:$F,ROW(H54))),"")</f>
        <v/>
      </c>
      <c r="I56" s="11" t="str">
        <f>IFERROR(INDEX(全オプション!I:I,SMALL(全オプション!$F:$F,ROW(I54))),"")</f>
        <v/>
      </c>
      <c r="J56" s="22" t="str">
        <f>IFERROR(INDEX(全オプション!J:J,SMALL(全オプション!$F:$F,ROW(J54))),"")</f>
        <v/>
      </c>
    </row>
    <row r="57" spans="1:10" ht="17.850000000000001" customHeight="1">
      <c r="A57" s="21" t="str">
        <f>IFERROR(INDEX(全オプション!A:A,SMALL(全オプション!$F:$F,ROW(A55))),"")</f>
        <v/>
      </c>
      <c r="B57" s="20" t="str">
        <f>IFERROR(INDEX(全オプション!B:B,SMALL(全オプション!$F:$F,ROW(B55))),"")</f>
        <v/>
      </c>
      <c r="C57" s="9" t="str">
        <f>IFERROR(INDEX(全オプション!C:C,SMALL(全オプション!$F:$F,ROW(C55))),"")</f>
        <v/>
      </c>
      <c r="D57" s="18" t="str">
        <f>IFERROR(INDEX(全オプション!D:D,SMALL(全オプション!$F:$F,ROW(D55))),"")</f>
        <v/>
      </c>
      <c r="E57" s="19" t="str">
        <f>IFERROR(INDEX(全オプション!E:E,SMALL(全オプション!$F:$F,ROW(E55))),"")</f>
        <v/>
      </c>
      <c r="F57" s="2" t="str">
        <f>IFERROR(INDEX(全オプション!F:F,SMALL(全オプション!$F:$F,ROW(F55))),"")</f>
        <v/>
      </c>
      <c r="G57" s="4"/>
      <c r="H57" s="11" t="str">
        <f>IFERROR(INDEX(全オプション!H:H,SMALL(全オプション!$F:$F,ROW(H55))),"")</f>
        <v/>
      </c>
      <c r="I57" s="11" t="str">
        <f>IFERROR(INDEX(全オプション!I:I,SMALL(全オプション!$F:$F,ROW(I55))),"")</f>
        <v/>
      </c>
      <c r="J57" s="22" t="str">
        <f>IFERROR(INDEX(全オプション!J:J,SMALL(全オプション!$F:$F,ROW(J55))),"")</f>
        <v/>
      </c>
    </row>
    <row r="58" spans="1:10" ht="17.850000000000001" customHeight="1">
      <c r="A58" s="21" t="str">
        <f>IFERROR(INDEX(全オプション!A:A,SMALL(全オプション!$F:$F,ROW(A56))),"")</f>
        <v/>
      </c>
      <c r="B58" s="20" t="str">
        <f>IFERROR(INDEX(全オプション!B:B,SMALL(全オプション!$F:$F,ROW(B56))),"")</f>
        <v/>
      </c>
      <c r="C58" s="9" t="str">
        <f>IFERROR(INDEX(全オプション!C:C,SMALL(全オプション!$F:$F,ROW(C56))),"")</f>
        <v/>
      </c>
      <c r="D58" s="18" t="str">
        <f>IFERROR(INDEX(全オプション!D:D,SMALL(全オプション!$F:$F,ROW(D56))),"")</f>
        <v/>
      </c>
      <c r="E58" s="19" t="str">
        <f>IFERROR(INDEX(全オプション!E:E,SMALL(全オプション!$F:$F,ROW(E56))),"")</f>
        <v/>
      </c>
      <c r="F58" s="2" t="str">
        <f>IFERROR(INDEX(全オプション!F:F,SMALL(全オプション!$F:$F,ROW(F56))),"")</f>
        <v/>
      </c>
      <c r="G58" s="4"/>
      <c r="H58" s="11" t="str">
        <f>IFERROR(INDEX(全オプション!H:H,SMALL(全オプション!$F:$F,ROW(H56))),"")</f>
        <v/>
      </c>
      <c r="I58" s="11" t="str">
        <f>IFERROR(INDEX(全オプション!I:I,SMALL(全オプション!$F:$F,ROW(I56))),"")</f>
        <v/>
      </c>
      <c r="J58" s="22" t="str">
        <f>IFERROR(INDEX(全オプション!J:J,SMALL(全オプション!$F:$F,ROW(J56))),"")</f>
        <v/>
      </c>
    </row>
    <row r="59" spans="1:10" ht="17.850000000000001" customHeight="1">
      <c r="A59" s="21" t="str">
        <f>IFERROR(INDEX(全オプション!A:A,SMALL(全オプション!$F:$F,ROW(A57))),"")</f>
        <v/>
      </c>
      <c r="B59" s="20" t="str">
        <f>IFERROR(INDEX(全オプション!B:B,SMALL(全オプション!$F:$F,ROW(B57))),"")</f>
        <v/>
      </c>
      <c r="C59" s="9" t="str">
        <f>IFERROR(INDEX(全オプション!C:C,SMALL(全オプション!$F:$F,ROW(C57))),"")</f>
        <v/>
      </c>
      <c r="D59" s="18" t="str">
        <f>IFERROR(INDEX(全オプション!D:D,SMALL(全オプション!$F:$F,ROW(D57))),"")</f>
        <v/>
      </c>
      <c r="E59" s="19" t="str">
        <f>IFERROR(INDEX(全オプション!E:E,SMALL(全オプション!$F:$F,ROW(E57))),"")</f>
        <v/>
      </c>
      <c r="F59" s="2" t="str">
        <f>IFERROR(INDEX(全オプション!F:F,SMALL(全オプション!$F:$F,ROW(F57))),"")</f>
        <v/>
      </c>
      <c r="G59" s="4"/>
      <c r="H59" s="11" t="str">
        <f>IFERROR(INDEX(全オプション!H:H,SMALL(全オプション!$F:$F,ROW(H57))),"")</f>
        <v/>
      </c>
      <c r="I59" s="11" t="str">
        <f>IFERROR(INDEX(全オプション!I:I,SMALL(全オプション!$F:$F,ROW(I57))),"")</f>
        <v/>
      </c>
      <c r="J59" s="22" t="str">
        <f>IFERROR(INDEX(全オプション!J:J,SMALL(全オプション!$F:$F,ROW(J57))),"")</f>
        <v/>
      </c>
    </row>
    <row r="60" spans="1:10" ht="17.850000000000001" customHeight="1">
      <c r="A60" s="21" t="str">
        <f>IFERROR(INDEX(全オプション!A:A,SMALL(全オプション!$F:$F,ROW(A58))),"")</f>
        <v/>
      </c>
      <c r="B60" s="20" t="str">
        <f>IFERROR(INDEX(全オプション!B:B,SMALL(全オプション!$F:$F,ROW(B58))),"")</f>
        <v/>
      </c>
      <c r="C60" s="9" t="str">
        <f>IFERROR(INDEX(全オプション!C:C,SMALL(全オプション!$F:$F,ROW(C58))),"")</f>
        <v/>
      </c>
      <c r="D60" s="18" t="str">
        <f>IFERROR(INDEX(全オプション!D:D,SMALL(全オプション!$F:$F,ROW(D58))),"")</f>
        <v/>
      </c>
      <c r="E60" s="19" t="str">
        <f>IFERROR(INDEX(全オプション!E:E,SMALL(全オプション!$F:$F,ROW(E58))),"")</f>
        <v/>
      </c>
      <c r="F60" s="2" t="str">
        <f>IFERROR(INDEX(全オプション!F:F,SMALL(全オプション!$F:$F,ROW(F58))),"")</f>
        <v/>
      </c>
      <c r="G60" s="4"/>
      <c r="H60" s="11" t="str">
        <f>IFERROR(INDEX(全オプション!H:H,SMALL(全オプション!$F:$F,ROW(H58))),"")</f>
        <v/>
      </c>
      <c r="I60" s="11" t="str">
        <f>IFERROR(INDEX(全オプション!I:I,SMALL(全オプション!$F:$F,ROW(I58))),"")</f>
        <v/>
      </c>
      <c r="J60" s="22" t="str">
        <f>IFERROR(INDEX(全オプション!J:J,SMALL(全オプション!$F:$F,ROW(J58))),"")</f>
        <v/>
      </c>
    </row>
    <row r="61" spans="1:10" ht="17.850000000000001" customHeight="1">
      <c r="A61" s="21" t="str">
        <f>IFERROR(INDEX(全オプション!A:A,SMALL(全オプション!$F:$F,ROW(A59))),"")</f>
        <v/>
      </c>
      <c r="B61" s="20" t="str">
        <f>IFERROR(INDEX(全オプション!B:B,SMALL(全オプション!$F:$F,ROW(B59))),"")</f>
        <v/>
      </c>
      <c r="C61" s="9" t="str">
        <f>IFERROR(INDEX(全オプション!C:C,SMALL(全オプション!$F:$F,ROW(C59))),"")</f>
        <v/>
      </c>
      <c r="D61" s="18" t="str">
        <f>IFERROR(INDEX(全オプション!D:D,SMALL(全オプション!$F:$F,ROW(D59))),"")</f>
        <v/>
      </c>
      <c r="E61" s="19" t="str">
        <f>IFERROR(INDEX(全オプション!E:E,SMALL(全オプション!$F:$F,ROW(E59))),"")</f>
        <v/>
      </c>
      <c r="F61" s="2" t="str">
        <f>IFERROR(INDEX(全オプション!F:F,SMALL(全オプション!$F:$F,ROW(F59))),"")</f>
        <v/>
      </c>
      <c r="G61" s="4"/>
      <c r="H61" s="11" t="str">
        <f>IFERROR(INDEX(全オプション!H:H,SMALL(全オプション!$F:$F,ROW(H59))),"")</f>
        <v/>
      </c>
      <c r="I61" s="11" t="str">
        <f>IFERROR(INDEX(全オプション!I:I,SMALL(全オプション!$F:$F,ROW(I59))),"")</f>
        <v/>
      </c>
      <c r="J61" s="22" t="str">
        <f>IFERROR(INDEX(全オプション!J:J,SMALL(全オプション!$F:$F,ROW(J59))),"")</f>
        <v/>
      </c>
    </row>
    <row r="62" spans="1:10" ht="17.850000000000001" customHeight="1">
      <c r="A62" s="21" t="str">
        <f>IFERROR(INDEX(全オプション!A:A,SMALL(全オプション!$F:$F,ROW(A60))),"")</f>
        <v/>
      </c>
      <c r="B62" s="20" t="str">
        <f>IFERROR(INDEX(全オプション!B:B,SMALL(全オプション!$F:$F,ROW(B60))),"")</f>
        <v/>
      </c>
      <c r="C62" s="9" t="str">
        <f>IFERROR(INDEX(全オプション!C:C,SMALL(全オプション!$F:$F,ROW(C60))),"")</f>
        <v/>
      </c>
      <c r="D62" s="18" t="str">
        <f>IFERROR(INDEX(全オプション!D:D,SMALL(全オプション!$F:$F,ROW(D60))),"")</f>
        <v/>
      </c>
      <c r="E62" s="19" t="str">
        <f>IFERROR(INDEX(全オプション!E:E,SMALL(全オプション!$F:$F,ROW(E60))),"")</f>
        <v/>
      </c>
      <c r="F62" s="2" t="str">
        <f>IFERROR(INDEX(全オプション!F:F,SMALL(全オプション!$F:$F,ROW(F60))),"")</f>
        <v/>
      </c>
      <c r="G62" s="4"/>
      <c r="H62" s="11" t="str">
        <f>IFERROR(INDEX(全オプション!H:H,SMALL(全オプション!$F:$F,ROW(H60))),"")</f>
        <v/>
      </c>
      <c r="I62" s="11" t="str">
        <f>IFERROR(INDEX(全オプション!I:I,SMALL(全オプション!$F:$F,ROW(I60))),"")</f>
        <v/>
      </c>
      <c r="J62" s="22" t="str">
        <f>IFERROR(INDEX(全オプション!J:J,SMALL(全オプション!$F:$F,ROW(J60))),"")</f>
        <v/>
      </c>
    </row>
    <row r="63" spans="1:10" ht="17.850000000000001" customHeight="1">
      <c r="A63" s="21" t="str">
        <f>IFERROR(INDEX(全オプション!A:A,SMALL(全オプション!$F:$F,ROW(A61))),"")</f>
        <v/>
      </c>
      <c r="B63" s="20" t="str">
        <f>IFERROR(INDEX(全オプション!B:B,SMALL(全オプション!$F:$F,ROW(B61))),"")</f>
        <v/>
      </c>
      <c r="C63" s="9" t="str">
        <f>IFERROR(INDEX(全オプション!C:C,SMALL(全オプション!$F:$F,ROW(C61))),"")</f>
        <v/>
      </c>
      <c r="D63" s="18" t="str">
        <f>IFERROR(INDEX(全オプション!D:D,SMALL(全オプション!$F:$F,ROW(D61))),"")</f>
        <v/>
      </c>
      <c r="E63" s="19" t="str">
        <f>IFERROR(INDEX(全オプション!E:E,SMALL(全オプション!$F:$F,ROW(E61))),"")</f>
        <v/>
      </c>
      <c r="F63" s="2" t="str">
        <f>IFERROR(INDEX(全オプション!F:F,SMALL(全オプション!$F:$F,ROW(F61))),"")</f>
        <v/>
      </c>
      <c r="G63" s="4"/>
      <c r="H63" s="11" t="str">
        <f>IFERROR(INDEX(全オプション!H:H,SMALL(全オプション!$F:$F,ROW(H61))),"")</f>
        <v/>
      </c>
      <c r="I63" s="11" t="str">
        <f>IFERROR(INDEX(全オプション!I:I,SMALL(全オプション!$F:$F,ROW(I61))),"")</f>
        <v/>
      </c>
      <c r="J63" s="22" t="str">
        <f>IFERROR(INDEX(全オプション!J:J,SMALL(全オプション!$F:$F,ROW(J61))),"")</f>
        <v/>
      </c>
    </row>
    <row r="64" spans="1:10" ht="17.850000000000001" customHeight="1">
      <c r="A64" s="21" t="str">
        <f>IFERROR(INDEX(全オプション!A:A,SMALL(全オプション!$F:$F,ROW(A62))),"")</f>
        <v/>
      </c>
      <c r="B64" s="20" t="str">
        <f>IFERROR(INDEX(全オプション!B:B,SMALL(全オプション!$F:$F,ROW(B62))),"")</f>
        <v/>
      </c>
      <c r="C64" s="9" t="str">
        <f>IFERROR(INDEX(全オプション!C:C,SMALL(全オプション!$F:$F,ROW(C62))),"")</f>
        <v/>
      </c>
      <c r="D64" s="18" t="str">
        <f>IFERROR(INDEX(全オプション!D:D,SMALL(全オプション!$F:$F,ROW(D62))),"")</f>
        <v/>
      </c>
      <c r="E64" s="19" t="str">
        <f>IFERROR(INDEX(全オプション!E:E,SMALL(全オプション!$F:$F,ROW(E62))),"")</f>
        <v/>
      </c>
      <c r="F64" s="2" t="str">
        <f>IFERROR(INDEX(全オプション!F:F,SMALL(全オプション!$F:$F,ROW(F62))),"")</f>
        <v/>
      </c>
      <c r="G64" s="4"/>
      <c r="H64" s="11" t="str">
        <f>IFERROR(INDEX(全オプション!H:H,SMALL(全オプション!$F:$F,ROW(H62))),"")</f>
        <v/>
      </c>
      <c r="I64" s="11" t="str">
        <f>IFERROR(INDEX(全オプション!I:I,SMALL(全オプション!$F:$F,ROW(I62))),"")</f>
        <v/>
      </c>
      <c r="J64" s="22" t="str">
        <f>IFERROR(INDEX(全オプション!J:J,SMALL(全オプション!$F:$F,ROW(J62))),"")</f>
        <v/>
      </c>
    </row>
    <row r="65" spans="1:10" ht="17.850000000000001" customHeight="1">
      <c r="A65" s="21" t="str">
        <f>IFERROR(INDEX(全オプション!A:A,SMALL(全オプション!$F:$F,ROW(A63))),"")</f>
        <v/>
      </c>
      <c r="B65" s="20" t="str">
        <f>IFERROR(INDEX(全オプション!B:B,SMALL(全オプション!$F:$F,ROW(B63))),"")</f>
        <v/>
      </c>
      <c r="C65" s="9" t="str">
        <f>IFERROR(INDEX(全オプション!C:C,SMALL(全オプション!$F:$F,ROW(C63))),"")</f>
        <v/>
      </c>
      <c r="D65" s="18" t="str">
        <f>IFERROR(INDEX(全オプション!D:D,SMALL(全オプション!$F:$F,ROW(D63))),"")</f>
        <v/>
      </c>
      <c r="E65" s="19" t="str">
        <f>IFERROR(INDEX(全オプション!E:E,SMALL(全オプション!$F:$F,ROW(E63))),"")</f>
        <v/>
      </c>
      <c r="F65" s="2" t="str">
        <f>IFERROR(INDEX(全オプション!F:F,SMALL(全オプション!$F:$F,ROW(F63))),"")</f>
        <v/>
      </c>
      <c r="G65" s="4"/>
      <c r="H65" s="11" t="str">
        <f>IFERROR(INDEX(全オプション!H:H,SMALL(全オプション!$F:$F,ROW(H63))),"")</f>
        <v/>
      </c>
      <c r="I65" s="11" t="str">
        <f>IFERROR(INDEX(全オプション!I:I,SMALL(全オプション!$F:$F,ROW(I63))),"")</f>
        <v/>
      </c>
      <c r="J65" s="22" t="str">
        <f>IFERROR(INDEX(全オプション!J:J,SMALL(全オプション!$F:$F,ROW(J63))),"")</f>
        <v/>
      </c>
    </row>
    <row r="66" spans="1:10" ht="17.850000000000001" customHeight="1">
      <c r="A66" s="21" t="str">
        <f>IFERROR(INDEX(全オプション!A:A,SMALL(全オプション!$F:$F,ROW(A64))),"")</f>
        <v/>
      </c>
      <c r="B66" s="20" t="str">
        <f>IFERROR(INDEX(全オプション!B:B,SMALL(全オプション!$F:$F,ROW(B64))),"")</f>
        <v/>
      </c>
      <c r="C66" s="9" t="str">
        <f>IFERROR(INDEX(全オプション!C:C,SMALL(全オプション!$F:$F,ROW(C64))),"")</f>
        <v/>
      </c>
      <c r="D66" s="18" t="str">
        <f>IFERROR(INDEX(全オプション!D:D,SMALL(全オプション!$F:$F,ROW(D64))),"")</f>
        <v/>
      </c>
      <c r="E66" s="19" t="str">
        <f>IFERROR(INDEX(全オプション!E:E,SMALL(全オプション!$F:$F,ROW(E64))),"")</f>
        <v/>
      </c>
      <c r="F66" s="2" t="str">
        <f>IFERROR(INDEX(全オプション!F:F,SMALL(全オプション!$F:$F,ROW(F64))),"")</f>
        <v/>
      </c>
      <c r="G66" s="4"/>
      <c r="H66" s="11" t="str">
        <f>IFERROR(INDEX(全オプション!H:H,SMALL(全オプション!$F:$F,ROW(H64))),"")</f>
        <v/>
      </c>
      <c r="I66" s="11" t="str">
        <f>IFERROR(INDEX(全オプション!I:I,SMALL(全オプション!$F:$F,ROW(I64))),"")</f>
        <v/>
      </c>
      <c r="J66" s="22" t="str">
        <f>IFERROR(INDEX(全オプション!J:J,SMALL(全オプション!$F:$F,ROW(J64))),"")</f>
        <v/>
      </c>
    </row>
    <row r="67" spans="1:10" ht="17.850000000000001" customHeight="1">
      <c r="A67" s="21" t="str">
        <f>IFERROR(INDEX(全オプション!A:A,SMALL(全オプション!$F:$F,ROW(A65))),"")</f>
        <v/>
      </c>
      <c r="B67" s="20" t="str">
        <f>IFERROR(INDEX(全オプション!B:B,SMALL(全オプション!$F:$F,ROW(B65))),"")</f>
        <v/>
      </c>
      <c r="C67" s="9" t="str">
        <f>IFERROR(INDEX(全オプション!C:C,SMALL(全オプション!$F:$F,ROW(C65))),"")</f>
        <v/>
      </c>
      <c r="D67" s="18" t="str">
        <f>IFERROR(INDEX(全オプション!D:D,SMALL(全オプション!$F:$F,ROW(D65))),"")</f>
        <v/>
      </c>
      <c r="E67" s="19" t="str">
        <f>IFERROR(INDEX(全オプション!E:E,SMALL(全オプション!$F:$F,ROW(E65))),"")</f>
        <v/>
      </c>
      <c r="F67" s="2" t="str">
        <f>IFERROR(INDEX(全オプション!F:F,SMALL(全オプション!$F:$F,ROW(F65))),"")</f>
        <v/>
      </c>
      <c r="G67" s="4"/>
      <c r="H67" s="11" t="str">
        <f>IFERROR(INDEX(全オプション!H:H,SMALL(全オプション!$F:$F,ROW(H65))),"")</f>
        <v/>
      </c>
      <c r="I67" s="11" t="str">
        <f>IFERROR(INDEX(全オプション!I:I,SMALL(全オプション!$F:$F,ROW(I65))),"")</f>
        <v/>
      </c>
      <c r="J67" s="22" t="str">
        <f>IFERROR(INDEX(全オプション!J:J,SMALL(全オプション!$F:$F,ROW(J65))),"")</f>
        <v/>
      </c>
    </row>
    <row r="68" spans="1:10" ht="17.850000000000001" customHeight="1">
      <c r="A68" s="21" t="str">
        <f>IFERROR(INDEX(全オプション!A:A,SMALL(全オプション!$F:$F,ROW(A66))),"")</f>
        <v/>
      </c>
      <c r="B68" s="20" t="str">
        <f>IFERROR(INDEX(全オプション!B:B,SMALL(全オプション!$F:$F,ROW(B66))),"")</f>
        <v/>
      </c>
      <c r="C68" s="9" t="str">
        <f>IFERROR(INDEX(全オプション!C:C,SMALL(全オプション!$F:$F,ROW(C66))),"")</f>
        <v/>
      </c>
      <c r="D68" s="18" t="str">
        <f>IFERROR(INDEX(全オプション!D:D,SMALL(全オプション!$F:$F,ROW(D66))),"")</f>
        <v/>
      </c>
      <c r="E68" s="19" t="str">
        <f>IFERROR(INDEX(全オプション!E:E,SMALL(全オプション!$F:$F,ROW(E66))),"")</f>
        <v/>
      </c>
      <c r="F68" s="2" t="str">
        <f>IFERROR(INDEX(全オプション!F:F,SMALL(全オプション!$F:$F,ROW(F66))),"")</f>
        <v/>
      </c>
      <c r="G68" s="4"/>
      <c r="H68" s="11" t="str">
        <f>IFERROR(INDEX(全オプション!H:H,SMALL(全オプション!$F:$F,ROW(H66))),"")</f>
        <v/>
      </c>
      <c r="I68" s="11" t="str">
        <f>IFERROR(INDEX(全オプション!I:I,SMALL(全オプション!$F:$F,ROW(I66))),"")</f>
        <v/>
      </c>
      <c r="J68" s="22" t="str">
        <f>IFERROR(INDEX(全オプション!J:J,SMALL(全オプション!$F:$F,ROW(J66))),"")</f>
        <v/>
      </c>
    </row>
    <row r="69" spans="1:10" ht="17.850000000000001" customHeight="1">
      <c r="A69" s="21" t="str">
        <f>IFERROR(INDEX(全オプション!A:A,SMALL(全オプション!$F:$F,ROW(A67))),"")</f>
        <v/>
      </c>
      <c r="B69" s="20" t="str">
        <f>IFERROR(INDEX(全オプション!B:B,SMALL(全オプション!$F:$F,ROW(B67))),"")</f>
        <v/>
      </c>
      <c r="C69" s="9" t="str">
        <f>IFERROR(INDEX(全オプション!C:C,SMALL(全オプション!$F:$F,ROW(C67))),"")</f>
        <v/>
      </c>
      <c r="D69" s="18" t="str">
        <f>IFERROR(INDEX(全オプション!D:D,SMALL(全オプション!$F:$F,ROW(D67))),"")</f>
        <v/>
      </c>
      <c r="E69" s="19" t="str">
        <f>IFERROR(INDEX(全オプション!E:E,SMALL(全オプション!$F:$F,ROW(E67))),"")</f>
        <v/>
      </c>
      <c r="F69" s="2" t="str">
        <f>IFERROR(INDEX(全オプション!F:F,SMALL(全オプション!$F:$F,ROW(F67))),"")</f>
        <v/>
      </c>
      <c r="G69" s="4"/>
      <c r="H69" s="11" t="str">
        <f>IFERROR(INDEX(全オプション!H:H,SMALL(全オプション!$F:$F,ROW(H67))),"")</f>
        <v/>
      </c>
      <c r="I69" s="11" t="str">
        <f>IFERROR(INDEX(全オプション!I:I,SMALL(全オプション!$F:$F,ROW(I67))),"")</f>
        <v/>
      </c>
      <c r="J69" s="22" t="str">
        <f>IFERROR(INDEX(全オプション!J:J,SMALL(全オプション!$F:$F,ROW(J67))),"")</f>
        <v/>
      </c>
    </row>
    <row r="70" spans="1:10" ht="17.850000000000001" customHeight="1">
      <c r="A70" s="21" t="str">
        <f>IFERROR(INDEX(全オプション!A:A,SMALL(全オプション!$F:$F,ROW(A68))),"")</f>
        <v/>
      </c>
      <c r="B70" s="20" t="str">
        <f>IFERROR(INDEX(全オプション!B:B,SMALL(全オプション!$F:$F,ROW(B68))),"")</f>
        <v/>
      </c>
      <c r="C70" s="9" t="str">
        <f>IFERROR(INDEX(全オプション!C:C,SMALL(全オプション!$F:$F,ROW(C68))),"")</f>
        <v/>
      </c>
      <c r="D70" s="18" t="str">
        <f>IFERROR(INDEX(全オプション!D:D,SMALL(全オプション!$F:$F,ROW(D68))),"")</f>
        <v/>
      </c>
      <c r="E70" s="19" t="str">
        <f>IFERROR(INDEX(全オプション!E:E,SMALL(全オプション!$F:$F,ROW(E68))),"")</f>
        <v/>
      </c>
      <c r="F70" s="2" t="str">
        <f>IFERROR(INDEX(全オプション!F:F,SMALL(全オプション!$F:$F,ROW(F68))),"")</f>
        <v/>
      </c>
      <c r="G70" s="4"/>
      <c r="H70" s="11" t="str">
        <f>IFERROR(INDEX(全オプション!H:H,SMALL(全オプション!$F:$F,ROW(H68))),"")</f>
        <v/>
      </c>
      <c r="I70" s="11" t="str">
        <f>IFERROR(INDEX(全オプション!I:I,SMALL(全オプション!$F:$F,ROW(I68))),"")</f>
        <v/>
      </c>
      <c r="J70" s="22" t="str">
        <f>IFERROR(INDEX(全オプション!J:J,SMALL(全オプション!$F:$F,ROW(J68))),"")</f>
        <v/>
      </c>
    </row>
    <row r="71" spans="1:10" ht="17.850000000000001" customHeight="1">
      <c r="A71" s="21" t="str">
        <f>IFERROR(INDEX(全オプション!A:A,SMALL(全オプション!$F:$F,ROW(A69))),"")</f>
        <v/>
      </c>
      <c r="B71" s="20" t="str">
        <f>IFERROR(INDEX(全オプション!B:B,SMALL(全オプション!$F:$F,ROW(B69))),"")</f>
        <v/>
      </c>
      <c r="C71" s="9" t="str">
        <f>IFERROR(INDEX(全オプション!C:C,SMALL(全オプション!$F:$F,ROW(C69))),"")</f>
        <v/>
      </c>
      <c r="D71" s="18" t="str">
        <f>IFERROR(INDEX(全オプション!D:D,SMALL(全オプション!$F:$F,ROW(D69))),"")</f>
        <v/>
      </c>
      <c r="E71" s="19" t="str">
        <f>IFERROR(INDEX(全オプション!E:E,SMALL(全オプション!$F:$F,ROW(E69))),"")</f>
        <v/>
      </c>
      <c r="F71" s="2" t="str">
        <f>IFERROR(INDEX(全オプション!F:F,SMALL(全オプション!$F:$F,ROW(F69))),"")</f>
        <v/>
      </c>
      <c r="G71" s="4"/>
      <c r="H71" s="11" t="str">
        <f>IFERROR(INDEX(全オプション!H:H,SMALL(全オプション!$F:$F,ROW(H69))),"")</f>
        <v/>
      </c>
      <c r="I71" s="11" t="str">
        <f>IFERROR(INDEX(全オプション!I:I,SMALL(全オプション!$F:$F,ROW(I69))),"")</f>
        <v/>
      </c>
      <c r="J71" s="22" t="str">
        <f>IFERROR(INDEX(全オプション!J:J,SMALL(全オプション!$F:$F,ROW(J69))),"")</f>
        <v/>
      </c>
    </row>
    <row r="72" spans="1:10" ht="17.850000000000001" customHeight="1">
      <c r="A72" s="21" t="str">
        <f>IFERROR(INDEX(全オプション!A:A,SMALL(全オプション!$F:$F,ROW(A70))),"")</f>
        <v/>
      </c>
      <c r="B72" s="20" t="str">
        <f>IFERROR(INDEX(全オプション!B:B,SMALL(全オプション!$F:$F,ROW(B70))),"")</f>
        <v/>
      </c>
      <c r="C72" s="9" t="str">
        <f>IFERROR(INDEX(全オプション!C:C,SMALL(全オプション!$F:$F,ROW(C70))),"")</f>
        <v/>
      </c>
      <c r="D72" s="18" t="str">
        <f>IFERROR(INDEX(全オプション!D:D,SMALL(全オプション!$F:$F,ROW(D70))),"")</f>
        <v/>
      </c>
      <c r="E72" s="19" t="str">
        <f>IFERROR(INDEX(全オプション!E:E,SMALL(全オプション!$F:$F,ROW(E70))),"")</f>
        <v/>
      </c>
      <c r="F72" s="2" t="str">
        <f>IFERROR(INDEX(全オプション!F:F,SMALL(全オプション!$F:$F,ROW(F70))),"")</f>
        <v/>
      </c>
      <c r="G72" s="4"/>
      <c r="H72" s="11" t="str">
        <f>IFERROR(INDEX(全オプション!H:H,SMALL(全オプション!$F:$F,ROW(H70))),"")</f>
        <v/>
      </c>
      <c r="I72" s="11" t="str">
        <f>IFERROR(INDEX(全オプション!I:I,SMALL(全オプション!$F:$F,ROW(I70))),"")</f>
        <v/>
      </c>
      <c r="J72" s="22" t="str">
        <f>IFERROR(INDEX(全オプション!J:J,SMALL(全オプション!$F:$F,ROW(J70))),"")</f>
        <v/>
      </c>
    </row>
    <row r="73" spans="1:10" ht="17.850000000000001" customHeight="1">
      <c r="A73" s="21" t="str">
        <f>IFERROR(INDEX(全オプション!A:A,SMALL(全オプション!$F:$F,ROW(A71))),"")</f>
        <v/>
      </c>
      <c r="B73" s="20" t="str">
        <f>IFERROR(INDEX(全オプション!B:B,SMALL(全オプション!$F:$F,ROW(B71))),"")</f>
        <v/>
      </c>
      <c r="C73" s="9" t="str">
        <f>IFERROR(INDEX(全オプション!C:C,SMALL(全オプション!$F:$F,ROW(C71))),"")</f>
        <v/>
      </c>
      <c r="D73" s="18" t="str">
        <f>IFERROR(INDEX(全オプション!D:D,SMALL(全オプション!$F:$F,ROW(D71))),"")</f>
        <v/>
      </c>
      <c r="E73" s="19" t="str">
        <f>IFERROR(INDEX(全オプション!E:E,SMALL(全オプション!$F:$F,ROW(E71))),"")</f>
        <v/>
      </c>
      <c r="F73" s="2" t="str">
        <f>IFERROR(INDEX(全オプション!F:F,SMALL(全オプション!$F:$F,ROW(F71))),"")</f>
        <v/>
      </c>
      <c r="G73" s="4"/>
      <c r="H73" s="11" t="str">
        <f>IFERROR(INDEX(全オプション!H:H,SMALL(全オプション!$F:$F,ROW(H71))),"")</f>
        <v/>
      </c>
      <c r="I73" s="11" t="str">
        <f>IFERROR(INDEX(全オプション!I:I,SMALL(全オプション!$F:$F,ROW(I71))),"")</f>
        <v/>
      </c>
      <c r="J73" s="22" t="str">
        <f>IFERROR(INDEX(全オプション!J:J,SMALL(全オプション!$F:$F,ROW(J71))),"")</f>
        <v/>
      </c>
    </row>
    <row r="74" spans="1:10" ht="17.850000000000001" customHeight="1">
      <c r="A74" s="21" t="str">
        <f>IFERROR(INDEX(全オプション!A:A,SMALL(全オプション!$F:$F,ROW(A72))),"")</f>
        <v/>
      </c>
      <c r="B74" s="20" t="str">
        <f>IFERROR(INDEX(全オプション!B:B,SMALL(全オプション!$F:$F,ROW(B72))),"")</f>
        <v/>
      </c>
      <c r="C74" s="9" t="str">
        <f>IFERROR(INDEX(全オプション!C:C,SMALL(全オプション!$F:$F,ROW(C72))),"")</f>
        <v/>
      </c>
      <c r="D74" s="18" t="str">
        <f>IFERROR(INDEX(全オプション!D:D,SMALL(全オプション!$F:$F,ROW(D72))),"")</f>
        <v/>
      </c>
      <c r="E74" s="19" t="str">
        <f>IFERROR(INDEX(全オプション!E:E,SMALL(全オプション!$F:$F,ROW(E72))),"")</f>
        <v/>
      </c>
      <c r="F74" s="2" t="str">
        <f>IFERROR(INDEX(全オプション!F:F,SMALL(全オプション!$F:$F,ROW(F72))),"")</f>
        <v/>
      </c>
      <c r="G74" s="4"/>
      <c r="H74" s="11" t="str">
        <f>IFERROR(INDEX(全オプション!H:H,SMALL(全オプション!$F:$F,ROW(H72))),"")</f>
        <v/>
      </c>
      <c r="I74" s="11" t="str">
        <f>IFERROR(INDEX(全オプション!I:I,SMALL(全オプション!$F:$F,ROW(I72))),"")</f>
        <v/>
      </c>
      <c r="J74" s="22" t="str">
        <f>IFERROR(INDEX(全オプション!J:J,SMALL(全オプション!$F:$F,ROW(J72))),"")</f>
        <v/>
      </c>
    </row>
    <row r="75" spans="1:10" ht="17.850000000000001" customHeight="1">
      <c r="A75" s="21" t="str">
        <f>IFERROR(INDEX(全オプション!A:A,SMALL(全オプション!$F:$F,ROW(A73))),"")</f>
        <v/>
      </c>
      <c r="B75" s="20" t="str">
        <f>IFERROR(INDEX(全オプション!B:B,SMALL(全オプション!$F:$F,ROW(B73))),"")</f>
        <v/>
      </c>
      <c r="C75" s="9" t="str">
        <f>IFERROR(INDEX(全オプション!C:C,SMALL(全オプション!$F:$F,ROW(C73))),"")</f>
        <v/>
      </c>
      <c r="D75" s="18" t="str">
        <f>IFERROR(INDEX(全オプション!D:D,SMALL(全オプション!$F:$F,ROW(D73))),"")</f>
        <v/>
      </c>
      <c r="E75" s="19" t="str">
        <f>IFERROR(INDEX(全オプション!E:E,SMALL(全オプション!$F:$F,ROW(E73))),"")</f>
        <v/>
      </c>
      <c r="F75" s="2" t="str">
        <f>IFERROR(INDEX(全オプション!F:F,SMALL(全オプション!$F:$F,ROW(F73))),"")</f>
        <v/>
      </c>
      <c r="G75" s="4"/>
      <c r="H75" s="11" t="str">
        <f>IFERROR(INDEX(全オプション!H:H,SMALL(全オプション!$F:$F,ROW(H73))),"")</f>
        <v/>
      </c>
      <c r="I75" s="11" t="str">
        <f>IFERROR(INDEX(全オプション!I:I,SMALL(全オプション!$F:$F,ROW(I73))),"")</f>
        <v/>
      </c>
      <c r="J75" s="22" t="str">
        <f>IFERROR(INDEX(全オプション!J:J,SMALL(全オプション!$F:$F,ROW(J73))),"")</f>
        <v/>
      </c>
    </row>
    <row r="76" spans="1:10" ht="17.850000000000001" customHeight="1">
      <c r="A76" s="21" t="str">
        <f>IFERROR(INDEX(全オプション!A:A,SMALL(全オプション!$F:$F,ROW(A74))),"")</f>
        <v/>
      </c>
      <c r="B76" s="20" t="str">
        <f>IFERROR(INDEX(全オプション!B:B,SMALL(全オプション!$F:$F,ROW(B74))),"")</f>
        <v/>
      </c>
      <c r="C76" s="9" t="str">
        <f>IFERROR(INDEX(全オプション!C:C,SMALL(全オプション!$F:$F,ROW(C74))),"")</f>
        <v/>
      </c>
      <c r="D76" s="18" t="str">
        <f>IFERROR(INDEX(全オプション!D:D,SMALL(全オプション!$F:$F,ROW(D74))),"")</f>
        <v/>
      </c>
      <c r="E76" s="19" t="str">
        <f>IFERROR(INDEX(全オプション!E:E,SMALL(全オプション!$F:$F,ROW(E74))),"")</f>
        <v/>
      </c>
      <c r="F76" s="2" t="str">
        <f>IFERROR(INDEX(全オプション!F:F,SMALL(全オプション!$F:$F,ROW(F74))),"")</f>
        <v/>
      </c>
      <c r="G76" s="4"/>
      <c r="H76" s="11" t="str">
        <f>IFERROR(INDEX(全オプション!H:H,SMALL(全オプション!$F:$F,ROW(H74))),"")</f>
        <v/>
      </c>
      <c r="I76" s="11" t="str">
        <f>IFERROR(INDEX(全オプション!I:I,SMALL(全オプション!$F:$F,ROW(I74))),"")</f>
        <v/>
      </c>
      <c r="J76" s="22" t="str">
        <f>IFERROR(INDEX(全オプション!J:J,SMALL(全オプション!$F:$F,ROW(J74))),"")</f>
        <v/>
      </c>
    </row>
    <row r="77" spans="1:10" ht="17.850000000000001" customHeight="1">
      <c r="A77" s="21" t="str">
        <f>IFERROR(INDEX(全オプション!A:A,SMALL(全オプション!$F:$F,ROW(A75))),"")</f>
        <v/>
      </c>
      <c r="B77" s="20" t="str">
        <f>IFERROR(INDEX(全オプション!B:B,SMALL(全オプション!$F:$F,ROW(B75))),"")</f>
        <v/>
      </c>
      <c r="C77" s="9" t="str">
        <f>IFERROR(INDEX(全オプション!C:C,SMALL(全オプション!$F:$F,ROW(C75))),"")</f>
        <v/>
      </c>
      <c r="D77" s="18" t="str">
        <f>IFERROR(INDEX(全オプション!D:D,SMALL(全オプション!$F:$F,ROW(D75))),"")</f>
        <v/>
      </c>
      <c r="E77" s="19" t="str">
        <f>IFERROR(INDEX(全オプション!E:E,SMALL(全オプション!$F:$F,ROW(E75))),"")</f>
        <v/>
      </c>
      <c r="F77" s="2" t="str">
        <f>IFERROR(INDEX(全オプション!F:F,SMALL(全オプション!$F:$F,ROW(F75))),"")</f>
        <v/>
      </c>
      <c r="G77" s="4"/>
      <c r="H77" s="11" t="str">
        <f>IFERROR(INDEX(全オプション!H:H,SMALL(全オプション!$F:$F,ROW(H75))),"")</f>
        <v/>
      </c>
      <c r="I77" s="11" t="str">
        <f>IFERROR(INDEX(全オプション!I:I,SMALL(全オプション!$F:$F,ROW(I75))),"")</f>
        <v/>
      </c>
      <c r="J77" s="22" t="str">
        <f>IFERROR(INDEX(全オプション!J:J,SMALL(全オプション!$F:$F,ROW(J75))),"")</f>
        <v/>
      </c>
    </row>
    <row r="78" spans="1:10" ht="17.850000000000001" customHeight="1">
      <c r="A78" s="21" t="str">
        <f>IFERROR(INDEX(全オプション!A:A,SMALL(全オプション!$F:$F,ROW(A76))),"")</f>
        <v/>
      </c>
      <c r="B78" s="20" t="str">
        <f>IFERROR(INDEX(全オプション!B:B,SMALL(全オプション!$F:$F,ROW(B76))),"")</f>
        <v/>
      </c>
      <c r="C78" s="9" t="str">
        <f>IFERROR(INDEX(全オプション!C:C,SMALL(全オプション!$F:$F,ROW(C76))),"")</f>
        <v/>
      </c>
      <c r="D78" s="18" t="str">
        <f>IFERROR(INDEX(全オプション!D:D,SMALL(全オプション!$F:$F,ROW(D76))),"")</f>
        <v/>
      </c>
      <c r="E78" s="19" t="str">
        <f>IFERROR(INDEX(全オプション!E:E,SMALL(全オプション!$F:$F,ROW(E76))),"")</f>
        <v/>
      </c>
      <c r="F78" s="2" t="str">
        <f>IFERROR(INDEX(全オプション!F:F,SMALL(全オプション!$F:$F,ROW(F76))),"")</f>
        <v/>
      </c>
      <c r="G78" s="4"/>
      <c r="H78" s="11" t="str">
        <f>IFERROR(INDEX(全オプション!H:H,SMALL(全オプション!$F:$F,ROW(H76))),"")</f>
        <v/>
      </c>
      <c r="I78" s="11" t="str">
        <f>IFERROR(INDEX(全オプション!I:I,SMALL(全オプション!$F:$F,ROW(I76))),"")</f>
        <v/>
      </c>
      <c r="J78" s="22" t="str">
        <f>IFERROR(INDEX(全オプション!J:J,SMALL(全オプション!$F:$F,ROW(J76))),"")</f>
        <v/>
      </c>
    </row>
    <row r="79" spans="1:10" ht="17.850000000000001" customHeight="1">
      <c r="A79" s="21" t="str">
        <f>IFERROR(INDEX(全オプション!A:A,SMALL(全オプション!$F:$F,ROW(A77))),"")</f>
        <v/>
      </c>
      <c r="B79" s="20" t="str">
        <f>IFERROR(INDEX(全オプション!B:B,SMALL(全オプション!$F:$F,ROW(B77))),"")</f>
        <v/>
      </c>
      <c r="C79" s="9" t="str">
        <f>IFERROR(INDEX(全オプション!C:C,SMALL(全オプション!$F:$F,ROW(C77))),"")</f>
        <v/>
      </c>
      <c r="D79" s="18" t="str">
        <f>IFERROR(INDEX(全オプション!D:D,SMALL(全オプション!$F:$F,ROW(D77))),"")</f>
        <v/>
      </c>
      <c r="E79" s="19" t="str">
        <f>IFERROR(INDEX(全オプション!E:E,SMALL(全オプション!$F:$F,ROW(E77))),"")</f>
        <v/>
      </c>
      <c r="F79" s="2" t="str">
        <f>IFERROR(INDEX(全オプション!F:F,SMALL(全オプション!$F:$F,ROW(F77))),"")</f>
        <v/>
      </c>
      <c r="G79" s="4"/>
      <c r="H79" s="11" t="str">
        <f>IFERROR(INDEX(全オプション!H:H,SMALL(全オプション!$F:$F,ROW(H77))),"")</f>
        <v/>
      </c>
      <c r="I79" s="11" t="str">
        <f>IFERROR(INDEX(全オプション!I:I,SMALL(全オプション!$F:$F,ROW(I77))),"")</f>
        <v/>
      </c>
      <c r="J79" s="22" t="str">
        <f>IFERROR(INDEX(全オプション!J:J,SMALL(全オプション!$F:$F,ROW(J77))),"")</f>
        <v/>
      </c>
    </row>
    <row r="80" spans="1:10" ht="17.850000000000001" customHeight="1">
      <c r="A80" s="21" t="str">
        <f>IFERROR(INDEX(全オプション!A:A,SMALL(全オプション!$F:$F,ROW(A78))),"")</f>
        <v/>
      </c>
      <c r="B80" s="20" t="str">
        <f>IFERROR(INDEX(全オプション!B:B,SMALL(全オプション!$F:$F,ROW(B78))),"")</f>
        <v/>
      </c>
      <c r="C80" s="9" t="str">
        <f>IFERROR(INDEX(全オプション!C:C,SMALL(全オプション!$F:$F,ROW(C78))),"")</f>
        <v/>
      </c>
      <c r="D80" s="18" t="str">
        <f>IFERROR(INDEX(全オプション!D:D,SMALL(全オプション!$F:$F,ROW(D78))),"")</f>
        <v/>
      </c>
      <c r="E80" s="19" t="str">
        <f>IFERROR(INDEX(全オプション!E:E,SMALL(全オプション!$F:$F,ROW(E78))),"")</f>
        <v/>
      </c>
      <c r="F80" s="2" t="str">
        <f>IFERROR(INDEX(全オプション!F:F,SMALL(全オプション!$F:$F,ROW(F78))),"")</f>
        <v/>
      </c>
      <c r="G80" s="4"/>
      <c r="H80" s="11" t="str">
        <f>IFERROR(INDEX(全オプション!H:H,SMALL(全オプション!$F:$F,ROW(H78))),"")</f>
        <v/>
      </c>
      <c r="I80" s="11" t="str">
        <f>IFERROR(INDEX(全オプション!I:I,SMALL(全オプション!$F:$F,ROW(I78))),"")</f>
        <v/>
      </c>
      <c r="J80" s="22" t="str">
        <f>IFERROR(INDEX(全オプション!J:J,SMALL(全オプション!$F:$F,ROW(J78))),"")</f>
        <v/>
      </c>
    </row>
    <row r="81" spans="1:10" ht="17.850000000000001" customHeight="1">
      <c r="A81" s="21" t="str">
        <f>IFERROR(INDEX(全オプション!A:A,SMALL(全オプション!$F:$F,ROW(A79))),"")</f>
        <v/>
      </c>
      <c r="B81" s="20" t="str">
        <f>IFERROR(INDEX(全オプション!B:B,SMALL(全オプション!$F:$F,ROW(B79))),"")</f>
        <v/>
      </c>
      <c r="C81" s="9" t="str">
        <f>IFERROR(INDEX(全オプション!C:C,SMALL(全オプション!$F:$F,ROW(C79))),"")</f>
        <v/>
      </c>
      <c r="D81" s="18" t="str">
        <f>IFERROR(INDEX(全オプション!D:D,SMALL(全オプション!$F:$F,ROW(D79))),"")</f>
        <v/>
      </c>
      <c r="E81" s="19" t="str">
        <f>IFERROR(INDEX(全オプション!E:E,SMALL(全オプション!$F:$F,ROW(E79))),"")</f>
        <v/>
      </c>
      <c r="F81" s="2" t="str">
        <f>IFERROR(INDEX(全オプション!F:F,SMALL(全オプション!$F:$F,ROW(F79))),"")</f>
        <v/>
      </c>
      <c r="G81" s="4"/>
      <c r="H81" s="11" t="str">
        <f>IFERROR(INDEX(全オプション!H:H,SMALL(全オプション!$F:$F,ROW(H79))),"")</f>
        <v/>
      </c>
      <c r="I81" s="11" t="str">
        <f>IFERROR(INDEX(全オプション!I:I,SMALL(全オプション!$F:$F,ROW(I79))),"")</f>
        <v/>
      </c>
      <c r="J81" s="22" t="str">
        <f>IFERROR(INDEX(全オプション!J:J,SMALL(全オプション!$F:$F,ROW(J79))),"")</f>
        <v/>
      </c>
    </row>
    <row r="82" spans="1:10" ht="17.850000000000001" customHeight="1">
      <c r="A82" s="21" t="str">
        <f>IFERROR(INDEX(全オプション!A:A,SMALL(全オプション!$F:$F,ROW(A80))),"")</f>
        <v/>
      </c>
      <c r="B82" s="20" t="str">
        <f>IFERROR(INDEX(全オプション!B:B,SMALL(全オプション!$F:$F,ROW(B80))),"")</f>
        <v/>
      </c>
      <c r="C82" s="9" t="str">
        <f>IFERROR(INDEX(全オプション!C:C,SMALL(全オプション!$F:$F,ROW(C80))),"")</f>
        <v/>
      </c>
      <c r="D82" s="18" t="str">
        <f>IFERROR(INDEX(全オプション!D:D,SMALL(全オプション!$F:$F,ROW(D80))),"")</f>
        <v/>
      </c>
      <c r="E82" s="19" t="str">
        <f>IFERROR(INDEX(全オプション!E:E,SMALL(全オプション!$F:$F,ROW(E80))),"")</f>
        <v/>
      </c>
      <c r="F82" s="2" t="str">
        <f>IFERROR(INDEX(全オプション!F:F,SMALL(全オプション!$F:$F,ROW(F80))),"")</f>
        <v/>
      </c>
      <c r="G82" s="4"/>
      <c r="H82" s="11" t="str">
        <f>IFERROR(INDEX(全オプション!H:H,SMALL(全オプション!$F:$F,ROW(H80))),"")</f>
        <v/>
      </c>
      <c r="I82" s="11" t="str">
        <f>IFERROR(INDEX(全オプション!I:I,SMALL(全オプション!$F:$F,ROW(I80))),"")</f>
        <v/>
      </c>
      <c r="J82" s="22" t="str">
        <f>IFERROR(INDEX(全オプション!J:J,SMALL(全オプション!$F:$F,ROW(J80))),"")</f>
        <v/>
      </c>
    </row>
    <row r="83" spans="1:10" ht="17.850000000000001" customHeight="1">
      <c r="A83" s="21" t="str">
        <f>IFERROR(INDEX(全オプション!A:A,SMALL(全オプション!$F:$F,ROW(A81))),"")</f>
        <v/>
      </c>
      <c r="B83" s="20" t="str">
        <f>IFERROR(INDEX(全オプション!B:B,SMALL(全オプション!$F:$F,ROW(B81))),"")</f>
        <v/>
      </c>
      <c r="C83" s="9" t="str">
        <f>IFERROR(INDEX(全オプション!C:C,SMALL(全オプション!$F:$F,ROW(C81))),"")</f>
        <v/>
      </c>
      <c r="D83" s="18" t="str">
        <f>IFERROR(INDEX(全オプション!D:D,SMALL(全オプション!$F:$F,ROW(D81))),"")</f>
        <v/>
      </c>
      <c r="E83" s="19" t="str">
        <f>IFERROR(INDEX(全オプション!E:E,SMALL(全オプション!$F:$F,ROW(E81))),"")</f>
        <v/>
      </c>
      <c r="F83" s="2" t="str">
        <f>IFERROR(INDEX(全オプション!F:F,SMALL(全オプション!$F:$F,ROW(F81))),"")</f>
        <v/>
      </c>
      <c r="G83" s="4"/>
      <c r="H83" s="11" t="str">
        <f>IFERROR(INDEX(全オプション!H:H,SMALL(全オプション!$F:$F,ROW(H81))),"")</f>
        <v/>
      </c>
      <c r="I83" s="11" t="str">
        <f>IFERROR(INDEX(全オプション!I:I,SMALL(全オプション!$F:$F,ROW(I81))),"")</f>
        <v/>
      </c>
      <c r="J83" s="22" t="str">
        <f>IFERROR(INDEX(全オプション!J:J,SMALL(全オプション!$F:$F,ROW(J81))),"")</f>
        <v/>
      </c>
    </row>
    <row r="84" spans="1:10" ht="17.850000000000001" customHeight="1">
      <c r="A84" s="21" t="str">
        <f>IFERROR(INDEX(全オプション!A:A,SMALL(全オプション!$F:$F,ROW(A82))),"")</f>
        <v/>
      </c>
      <c r="B84" s="20" t="str">
        <f>IFERROR(INDEX(全オプション!B:B,SMALL(全オプション!$F:$F,ROW(B82))),"")</f>
        <v/>
      </c>
      <c r="C84" s="9" t="str">
        <f>IFERROR(INDEX(全オプション!C:C,SMALL(全オプション!$F:$F,ROW(C82))),"")</f>
        <v/>
      </c>
      <c r="D84" s="18" t="str">
        <f>IFERROR(INDEX(全オプション!D:D,SMALL(全オプション!$F:$F,ROW(D82))),"")</f>
        <v/>
      </c>
      <c r="E84" s="19" t="str">
        <f>IFERROR(INDEX(全オプション!E:E,SMALL(全オプション!$F:$F,ROW(E82))),"")</f>
        <v/>
      </c>
      <c r="F84" s="2" t="str">
        <f>IFERROR(INDEX(全オプション!F:F,SMALL(全オプション!$F:$F,ROW(F82))),"")</f>
        <v/>
      </c>
      <c r="G84" s="4"/>
      <c r="H84" s="11" t="str">
        <f>IFERROR(INDEX(全オプション!H:H,SMALL(全オプション!$F:$F,ROW(H82))),"")</f>
        <v/>
      </c>
      <c r="I84" s="11" t="str">
        <f>IFERROR(INDEX(全オプション!I:I,SMALL(全オプション!$F:$F,ROW(I82))),"")</f>
        <v/>
      </c>
      <c r="J84" s="22" t="str">
        <f>IFERROR(INDEX(全オプション!J:J,SMALL(全オプション!$F:$F,ROW(J82))),"")</f>
        <v/>
      </c>
    </row>
    <row r="85" spans="1:10" ht="17.850000000000001" customHeight="1">
      <c r="A85" s="21" t="str">
        <f>IFERROR(INDEX(全オプション!A:A,SMALL(全オプション!$F:$F,ROW(A83))),"")</f>
        <v/>
      </c>
      <c r="B85" s="20" t="str">
        <f>IFERROR(INDEX(全オプション!B:B,SMALL(全オプション!$F:$F,ROW(B83))),"")</f>
        <v/>
      </c>
      <c r="C85" s="9" t="str">
        <f>IFERROR(INDEX(全オプション!C:C,SMALL(全オプション!$F:$F,ROW(C83))),"")</f>
        <v/>
      </c>
      <c r="D85" s="18" t="str">
        <f>IFERROR(INDEX(全オプション!D:D,SMALL(全オプション!$F:$F,ROW(D83))),"")</f>
        <v/>
      </c>
      <c r="E85" s="19" t="str">
        <f>IFERROR(INDEX(全オプション!E:E,SMALL(全オプション!$F:$F,ROW(E83))),"")</f>
        <v/>
      </c>
      <c r="F85" s="2" t="str">
        <f>IFERROR(INDEX(全オプション!F:F,SMALL(全オプション!$F:$F,ROW(F83))),"")</f>
        <v/>
      </c>
      <c r="G85" s="4"/>
      <c r="H85" s="11" t="str">
        <f>IFERROR(INDEX(全オプション!H:H,SMALL(全オプション!$F:$F,ROW(H83))),"")</f>
        <v/>
      </c>
      <c r="I85" s="11" t="str">
        <f>IFERROR(INDEX(全オプション!I:I,SMALL(全オプション!$F:$F,ROW(I83))),"")</f>
        <v/>
      </c>
      <c r="J85" s="22" t="str">
        <f>IFERROR(INDEX(全オプション!J:J,SMALL(全オプション!$F:$F,ROW(J83))),"")</f>
        <v/>
      </c>
    </row>
    <row r="86" spans="1:10" ht="17.850000000000001" customHeight="1">
      <c r="A86" s="21" t="str">
        <f>IFERROR(INDEX(全オプション!A:A,SMALL(全オプション!$F:$F,ROW(A84))),"")</f>
        <v/>
      </c>
      <c r="B86" s="20" t="str">
        <f>IFERROR(INDEX(全オプション!B:B,SMALL(全オプション!$F:$F,ROW(B84))),"")</f>
        <v/>
      </c>
      <c r="C86" s="9" t="str">
        <f>IFERROR(INDEX(全オプション!C:C,SMALL(全オプション!$F:$F,ROW(C84))),"")</f>
        <v/>
      </c>
      <c r="D86" s="18" t="str">
        <f>IFERROR(INDEX(全オプション!D:D,SMALL(全オプション!$F:$F,ROW(D84))),"")</f>
        <v/>
      </c>
      <c r="E86" s="19" t="str">
        <f>IFERROR(INDEX(全オプション!E:E,SMALL(全オプション!$F:$F,ROW(E84))),"")</f>
        <v/>
      </c>
      <c r="F86" s="2" t="str">
        <f>IFERROR(INDEX(全オプション!F:F,SMALL(全オプション!$F:$F,ROW(F84))),"")</f>
        <v/>
      </c>
      <c r="G86" s="4"/>
      <c r="H86" s="11" t="str">
        <f>IFERROR(INDEX(全オプション!H:H,SMALL(全オプション!$F:$F,ROW(H84))),"")</f>
        <v/>
      </c>
      <c r="I86" s="11" t="str">
        <f>IFERROR(INDEX(全オプション!I:I,SMALL(全オプション!$F:$F,ROW(I84))),"")</f>
        <v/>
      </c>
      <c r="J86" s="22" t="str">
        <f>IFERROR(INDEX(全オプション!J:J,SMALL(全オプション!$F:$F,ROW(J84))),"")</f>
        <v/>
      </c>
    </row>
    <row r="87" spans="1:10" ht="17.850000000000001" customHeight="1">
      <c r="A87" s="21" t="str">
        <f>IFERROR(INDEX(全オプション!A:A,SMALL(全オプション!$F:$F,ROW(A85))),"")</f>
        <v/>
      </c>
      <c r="B87" s="20" t="str">
        <f>IFERROR(INDEX(全オプション!B:B,SMALL(全オプション!$F:$F,ROW(B85))),"")</f>
        <v/>
      </c>
      <c r="C87" s="9" t="str">
        <f>IFERROR(INDEX(全オプション!C:C,SMALL(全オプション!$F:$F,ROW(C85))),"")</f>
        <v/>
      </c>
      <c r="D87" s="18" t="str">
        <f>IFERROR(INDEX(全オプション!D:D,SMALL(全オプション!$F:$F,ROW(D85))),"")</f>
        <v/>
      </c>
      <c r="E87" s="19" t="str">
        <f>IFERROR(INDEX(全オプション!E:E,SMALL(全オプション!$F:$F,ROW(E85))),"")</f>
        <v/>
      </c>
      <c r="F87" s="2" t="str">
        <f>IFERROR(INDEX(全オプション!F:F,SMALL(全オプション!$F:$F,ROW(F85))),"")</f>
        <v/>
      </c>
      <c r="G87" s="4"/>
      <c r="H87" s="11" t="str">
        <f>IFERROR(INDEX(全オプション!H:H,SMALL(全オプション!$F:$F,ROW(H85))),"")</f>
        <v/>
      </c>
      <c r="I87" s="11" t="str">
        <f>IFERROR(INDEX(全オプション!I:I,SMALL(全オプション!$F:$F,ROW(I85))),"")</f>
        <v/>
      </c>
      <c r="J87" s="22" t="str">
        <f>IFERROR(INDEX(全オプション!J:J,SMALL(全オプション!$F:$F,ROW(J85))),"")</f>
        <v/>
      </c>
    </row>
    <row r="88" spans="1:10" ht="17.850000000000001" customHeight="1">
      <c r="A88" s="21" t="str">
        <f>IFERROR(INDEX(全オプション!A:A,SMALL(全オプション!$F:$F,ROW(A86))),"")</f>
        <v/>
      </c>
      <c r="B88" s="20" t="str">
        <f>IFERROR(INDEX(全オプション!B:B,SMALL(全オプション!$F:$F,ROW(B86))),"")</f>
        <v/>
      </c>
      <c r="C88" s="9" t="str">
        <f>IFERROR(INDEX(全オプション!C:C,SMALL(全オプション!$F:$F,ROW(C86))),"")</f>
        <v/>
      </c>
      <c r="D88" s="18" t="str">
        <f>IFERROR(INDEX(全オプション!D:D,SMALL(全オプション!$F:$F,ROW(D86))),"")</f>
        <v/>
      </c>
      <c r="E88" s="19" t="str">
        <f>IFERROR(INDEX(全オプション!E:E,SMALL(全オプション!$F:$F,ROW(E86))),"")</f>
        <v/>
      </c>
      <c r="F88" s="2" t="str">
        <f>IFERROR(INDEX(全オプション!F:F,SMALL(全オプション!$F:$F,ROW(F86))),"")</f>
        <v/>
      </c>
      <c r="G88" s="4"/>
      <c r="H88" s="11" t="str">
        <f>IFERROR(INDEX(全オプション!H:H,SMALL(全オプション!$F:$F,ROW(H86))),"")</f>
        <v/>
      </c>
      <c r="I88" s="11" t="str">
        <f>IFERROR(INDEX(全オプション!I:I,SMALL(全オプション!$F:$F,ROW(I86))),"")</f>
        <v/>
      </c>
      <c r="J88" s="22" t="str">
        <f>IFERROR(INDEX(全オプション!J:J,SMALL(全オプション!$F:$F,ROW(J86))),"")</f>
        <v/>
      </c>
    </row>
    <row r="89" spans="1:10" ht="17.850000000000001" customHeight="1">
      <c r="A89" s="21" t="str">
        <f>IFERROR(INDEX(全オプション!A:A,SMALL(全オプション!$F:$F,ROW(A87))),"")</f>
        <v/>
      </c>
      <c r="B89" s="20" t="str">
        <f>IFERROR(INDEX(全オプション!B:B,SMALL(全オプション!$F:$F,ROW(B87))),"")</f>
        <v/>
      </c>
      <c r="C89" s="9" t="str">
        <f>IFERROR(INDEX(全オプション!C:C,SMALL(全オプション!$F:$F,ROW(C87))),"")</f>
        <v/>
      </c>
      <c r="D89" s="18" t="str">
        <f>IFERROR(INDEX(全オプション!D:D,SMALL(全オプション!$F:$F,ROW(D87))),"")</f>
        <v/>
      </c>
      <c r="E89" s="19" t="str">
        <f>IFERROR(INDEX(全オプション!E:E,SMALL(全オプション!$F:$F,ROW(E87))),"")</f>
        <v/>
      </c>
      <c r="F89" s="2" t="str">
        <f>IFERROR(INDEX(全オプション!F:F,SMALL(全オプション!$F:$F,ROW(F87))),"")</f>
        <v/>
      </c>
      <c r="G89" s="4"/>
      <c r="H89" s="11" t="str">
        <f>IFERROR(INDEX(全オプション!H:H,SMALL(全オプション!$F:$F,ROW(H87))),"")</f>
        <v/>
      </c>
      <c r="I89" s="11" t="str">
        <f>IFERROR(INDEX(全オプション!I:I,SMALL(全オプション!$F:$F,ROW(I87))),"")</f>
        <v/>
      </c>
      <c r="J89" s="22" t="str">
        <f>IFERROR(INDEX(全オプション!J:J,SMALL(全オプション!$F:$F,ROW(J87))),"")</f>
        <v/>
      </c>
    </row>
    <row r="90" spans="1:10" ht="17.850000000000001" customHeight="1">
      <c r="A90" s="21" t="str">
        <f>IFERROR(INDEX(全オプション!A:A,SMALL(全オプション!$F:$F,ROW(A88))),"")</f>
        <v/>
      </c>
      <c r="B90" s="20" t="str">
        <f>IFERROR(INDEX(全オプション!B:B,SMALL(全オプション!$F:$F,ROW(B88))),"")</f>
        <v/>
      </c>
      <c r="C90" s="9" t="str">
        <f>IFERROR(INDEX(全オプション!C:C,SMALL(全オプション!$F:$F,ROW(C88))),"")</f>
        <v/>
      </c>
      <c r="D90" s="18" t="str">
        <f>IFERROR(INDEX(全オプション!D:D,SMALL(全オプション!$F:$F,ROW(D88))),"")</f>
        <v/>
      </c>
      <c r="E90" s="19" t="str">
        <f>IFERROR(INDEX(全オプション!E:E,SMALL(全オプション!$F:$F,ROW(E88))),"")</f>
        <v/>
      </c>
      <c r="F90" s="2" t="str">
        <f>IFERROR(INDEX(全オプション!F:F,SMALL(全オプション!$F:$F,ROW(F88))),"")</f>
        <v/>
      </c>
      <c r="G90" s="4"/>
      <c r="H90" s="11" t="str">
        <f>IFERROR(INDEX(全オプション!H:H,SMALL(全オプション!$F:$F,ROW(H88))),"")</f>
        <v/>
      </c>
      <c r="I90" s="11" t="str">
        <f>IFERROR(INDEX(全オプション!I:I,SMALL(全オプション!$F:$F,ROW(I88))),"")</f>
        <v/>
      </c>
      <c r="J90" s="22" t="str">
        <f>IFERROR(INDEX(全オプション!J:J,SMALL(全オプション!$F:$F,ROW(J88))),"")</f>
        <v/>
      </c>
    </row>
    <row r="91" spans="1:10" ht="17.850000000000001" customHeight="1">
      <c r="A91" s="21" t="str">
        <f>IFERROR(INDEX(全オプション!A:A,SMALL(全オプション!$F:$F,ROW(A89))),"")</f>
        <v/>
      </c>
      <c r="B91" s="20" t="str">
        <f>IFERROR(INDEX(全オプション!B:B,SMALL(全オプション!$F:$F,ROW(B89))),"")</f>
        <v/>
      </c>
      <c r="C91" s="9" t="str">
        <f>IFERROR(INDEX(全オプション!C:C,SMALL(全オプション!$F:$F,ROW(C89))),"")</f>
        <v/>
      </c>
      <c r="D91" s="18" t="str">
        <f>IFERROR(INDEX(全オプション!D:D,SMALL(全オプション!$F:$F,ROW(D89))),"")</f>
        <v/>
      </c>
      <c r="E91" s="19" t="str">
        <f>IFERROR(INDEX(全オプション!E:E,SMALL(全オプション!$F:$F,ROW(E89))),"")</f>
        <v/>
      </c>
      <c r="F91" s="2" t="str">
        <f>IFERROR(INDEX(全オプション!F:F,SMALL(全オプション!$F:$F,ROW(F89))),"")</f>
        <v/>
      </c>
      <c r="G91" s="4"/>
      <c r="H91" s="11" t="str">
        <f>IFERROR(INDEX(全オプション!H:H,SMALL(全オプション!$F:$F,ROW(H89))),"")</f>
        <v/>
      </c>
      <c r="I91" s="11" t="str">
        <f>IFERROR(INDEX(全オプション!I:I,SMALL(全オプション!$F:$F,ROW(I89))),"")</f>
        <v/>
      </c>
      <c r="J91" s="22" t="str">
        <f>IFERROR(INDEX(全オプション!J:J,SMALL(全オプション!$F:$F,ROW(J89))),"")</f>
        <v/>
      </c>
    </row>
    <row r="92" spans="1:10" ht="17.850000000000001" customHeight="1">
      <c r="A92" s="21" t="str">
        <f>IFERROR(INDEX(全オプション!A:A,SMALL(全オプション!$F:$F,ROW(A90))),"")</f>
        <v/>
      </c>
      <c r="B92" s="20" t="str">
        <f>IFERROR(INDEX(全オプション!B:B,SMALL(全オプション!$F:$F,ROW(B90))),"")</f>
        <v/>
      </c>
      <c r="C92" s="9" t="str">
        <f>IFERROR(INDEX(全オプション!C:C,SMALL(全オプション!$F:$F,ROW(C90))),"")</f>
        <v/>
      </c>
      <c r="D92" s="18" t="str">
        <f>IFERROR(INDEX(全オプション!D:D,SMALL(全オプション!$F:$F,ROW(D90))),"")</f>
        <v/>
      </c>
      <c r="E92" s="19" t="str">
        <f>IFERROR(INDEX(全オプション!E:E,SMALL(全オプション!$F:$F,ROW(E90))),"")</f>
        <v/>
      </c>
      <c r="F92" s="2" t="str">
        <f>IFERROR(INDEX(全オプション!F:F,SMALL(全オプション!$F:$F,ROW(F90))),"")</f>
        <v/>
      </c>
      <c r="G92" s="4"/>
      <c r="H92" s="11" t="str">
        <f>IFERROR(INDEX(全オプション!H:H,SMALL(全オプション!$F:$F,ROW(H90))),"")</f>
        <v/>
      </c>
      <c r="I92" s="11" t="str">
        <f>IFERROR(INDEX(全オプション!I:I,SMALL(全オプション!$F:$F,ROW(I90))),"")</f>
        <v/>
      </c>
      <c r="J92" s="22" t="str">
        <f>IFERROR(INDEX(全オプション!J:J,SMALL(全オプション!$F:$F,ROW(J90))),"")</f>
        <v/>
      </c>
    </row>
    <row r="93" spans="1:10" ht="17.850000000000001" customHeight="1">
      <c r="A93" s="21" t="str">
        <f>IFERROR(INDEX(全オプション!A:A,SMALL(全オプション!$F:$F,ROW(A91))),"")</f>
        <v/>
      </c>
      <c r="B93" s="20" t="str">
        <f>IFERROR(INDEX(全オプション!B:B,SMALL(全オプション!$F:$F,ROW(B91))),"")</f>
        <v/>
      </c>
      <c r="C93" s="9" t="str">
        <f>IFERROR(INDEX(全オプション!C:C,SMALL(全オプション!$F:$F,ROW(C91))),"")</f>
        <v/>
      </c>
      <c r="D93" s="18" t="str">
        <f>IFERROR(INDEX(全オプション!D:D,SMALL(全オプション!$F:$F,ROW(D91))),"")</f>
        <v/>
      </c>
      <c r="E93" s="19" t="str">
        <f>IFERROR(INDEX(全オプション!E:E,SMALL(全オプション!$F:$F,ROW(E91))),"")</f>
        <v/>
      </c>
      <c r="F93" s="2" t="str">
        <f>IFERROR(INDEX(全オプション!F:F,SMALL(全オプション!$F:$F,ROW(F91))),"")</f>
        <v/>
      </c>
      <c r="G93" s="4"/>
      <c r="H93" s="11" t="str">
        <f>IFERROR(INDEX(全オプション!H:H,SMALL(全オプション!$F:$F,ROW(H91))),"")</f>
        <v/>
      </c>
      <c r="I93" s="11" t="str">
        <f>IFERROR(INDEX(全オプション!I:I,SMALL(全オプション!$F:$F,ROW(I91))),"")</f>
        <v/>
      </c>
      <c r="J93" s="22" t="str">
        <f>IFERROR(INDEX(全オプション!J:J,SMALL(全オプション!$F:$F,ROW(J91))),"")</f>
        <v/>
      </c>
    </row>
    <row r="94" spans="1:10" ht="17.850000000000001" customHeight="1">
      <c r="A94" s="21" t="str">
        <f>IFERROR(INDEX(全オプション!A:A,SMALL(全オプション!$F:$F,ROW(A92))),"")</f>
        <v/>
      </c>
      <c r="B94" s="20" t="str">
        <f>IFERROR(INDEX(全オプション!B:B,SMALL(全オプション!$F:$F,ROW(B92))),"")</f>
        <v/>
      </c>
      <c r="C94" s="9" t="str">
        <f>IFERROR(INDEX(全オプション!C:C,SMALL(全オプション!$F:$F,ROW(C92))),"")</f>
        <v/>
      </c>
      <c r="D94" s="18" t="str">
        <f>IFERROR(INDEX(全オプション!D:D,SMALL(全オプション!$F:$F,ROW(D92))),"")</f>
        <v/>
      </c>
      <c r="E94" s="19" t="str">
        <f>IFERROR(INDEX(全オプション!E:E,SMALL(全オプション!$F:$F,ROW(E92))),"")</f>
        <v/>
      </c>
      <c r="F94" s="2" t="str">
        <f>IFERROR(INDEX(全オプション!F:F,SMALL(全オプション!$F:$F,ROW(F92))),"")</f>
        <v/>
      </c>
      <c r="G94" s="4"/>
      <c r="H94" s="11" t="str">
        <f>IFERROR(INDEX(全オプション!H:H,SMALL(全オプション!$F:$F,ROW(H92))),"")</f>
        <v/>
      </c>
      <c r="I94" s="11" t="str">
        <f>IFERROR(INDEX(全オプション!I:I,SMALL(全オプション!$F:$F,ROW(I92))),"")</f>
        <v/>
      </c>
      <c r="J94" s="22" t="str">
        <f>IFERROR(INDEX(全オプション!J:J,SMALL(全オプション!$F:$F,ROW(J92))),"")</f>
        <v/>
      </c>
    </row>
    <row r="95" spans="1:10" ht="17.850000000000001" customHeight="1">
      <c r="A95" s="21" t="str">
        <f>IFERROR(INDEX(全オプション!A:A,SMALL(全オプション!$F:$F,ROW(A93))),"")</f>
        <v/>
      </c>
      <c r="B95" s="20" t="str">
        <f>IFERROR(INDEX(全オプション!B:B,SMALL(全オプション!$F:$F,ROW(B93))),"")</f>
        <v/>
      </c>
      <c r="C95" s="9" t="str">
        <f>IFERROR(INDEX(全オプション!C:C,SMALL(全オプション!$F:$F,ROW(C93))),"")</f>
        <v/>
      </c>
      <c r="D95" s="18" t="str">
        <f>IFERROR(INDEX(全オプション!D:D,SMALL(全オプション!$F:$F,ROW(D93))),"")</f>
        <v/>
      </c>
      <c r="E95" s="19" t="str">
        <f>IFERROR(INDEX(全オプション!E:E,SMALL(全オプション!$F:$F,ROW(E93))),"")</f>
        <v/>
      </c>
      <c r="F95" s="2" t="str">
        <f>IFERROR(INDEX(全オプション!F:F,SMALL(全オプション!$F:$F,ROW(F93))),"")</f>
        <v/>
      </c>
      <c r="G95" s="4"/>
      <c r="H95" s="11" t="str">
        <f>IFERROR(INDEX(全オプション!H:H,SMALL(全オプション!$F:$F,ROW(H93))),"")</f>
        <v/>
      </c>
      <c r="I95" s="11" t="str">
        <f>IFERROR(INDEX(全オプション!I:I,SMALL(全オプション!$F:$F,ROW(I93))),"")</f>
        <v/>
      </c>
      <c r="J95" s="22" t="str">
        <f>IFERROR(INDEX(全オプション!J:J,SMALL(全オプション!$F:$F,ROW(J93))),"")</f>
        <v/>
      </c>
    </row>
    <row r="96" spans="1:10" ht="17.850000000000001" customHeight="1">
      <c r="A96" s="21" t="str">
        <f>IFERROR(INDEX(全オプション!A:A,SMALL(全オプション!$F:$F,ROW(A94))),"")</f>
        <v/>
      </c>
      <c r="B96" s="20" t="str">
        <f>IFERROR(INDEX(全オプション!B:B,SMALL(全オプション!$F:$F,ROW(B94))),"")</f>
        <v/>
      </c>
      <c r="C96" s="9" t="str">
        <f>IFERROR(INDEX(全オプション!C:C,SMALL(全オプション!$F:$F,ROW(C94))),"")</f>
        <v/>
      </c>
      <c r="D96" s="18" t="str">
        <f>IFERROR(INDEX(全オプション!D:D,SMALL(全オプション!$F:$F,ROW(D94))),"")</f>
        <v/>
      </c>
      <c r="E96" s="19" t="str">
        <f>IFERROR(INDEX(全オプション!E:E,SMALL(全オプション!$F:$F,ROW(E94))),"")</f>
        <v/>
      </c>
      <c r="F96" s="2" t="str">
        <f>IFERROR(INDEX(全オプション!F:F,SMALL(全オプション!$F:$F,ROW(F94))),"")</f>
        <v/>
      </c>
      <c r="G96" s="4"/>
      <c r="H96" s="11" t="str">
        <f>IFERROR(INDEX(全オプション!H:H,SMALL(全オプション!$F:$F,ROW(H94))),"")</f>
        <v/>
      </c>
      <c r="I96" s="11" t="str">
        <f>IFERROR(INDEX(全オプション!I:I,SMALL(全オプション!$F:$F,ROW(I94))),"")</f>
        <v/>
      </c>
      <c r="J96" s="22" t="str">
        <f>IFERROR(INDEX(全オプション!J:J,SMALL(全オプション!$F:$F,ROW(J94))),"")</f>
        <v/>
      </c>
    </row>
    <row r="97" spans="1:10" ht="17.850000000000001" customHeight="1">
      <c r="A97" s="21" t="str">
        <f>IFERROR(INDEX(全オプション!A:A,SMALL(全オプション!$F:$F,ROW(A95))),"")</f>
        <v/>
      </c>
      <c r="B97" s="20" t="str">
        <f>IFERROR(INDEX(全オプション!B:B,SMALL(全オプション!$F:$F,ROW(B95))),"")</f>
        <v/>
      </c>
      <c r="C97" s="9" t="str">
        <f>IFERROR(INDEX(全オプション!C:C,SMALL(全オプション!$F:$F,ROW(C95))),"")</f>
        <v/>
      </c>
      <c r="D97" s="18" t="str">
        <f>IFERROR(INDEX(全オプション!D:D,SMALL(全オプション!$F:$F,ROW(D95))),"")</f>
        <v/>
      </c>
      <c r="E97" s="19" t="str">
        <f>IFERROR(INDEX(全オプション!E:E,SMALL(全オプション!$F:$F,ROW(E95))),"")</f>
        <v/>
      </c>
      <c r="F97" s="2" t="str">
        <f>IFERROR(INDEX(全オプション!F:F,SMALL(全オプション!$F:$F,ROW(F95))),"")</f>
        <v/>
      </c>
      <c r="G97" s="4"/>
      <c r="H97" s="11" t="str">
        <f>IFERROR(INDEX(全オプション!H:H,SMALL(全オプション!$F:$F,ROW(H95))),"")</f>
        <v/>
      </c>
      <c r="I97" s="11" t="str">
        <f>IFERROR(INDEX(全オプション!I:I,SMALL(全オプション!$F:$F,ROW(I95))),"")</f>
        <v/>
      </c>
      <c r="J97" s="22" t="str">
        <f>IFERROR(INDEX(全オプション!J:J,SMALL(全オプション!$F:$F,ROW(J95))),"")</f>
        <v/>
      </c>
    </row>
    <row r="98" spans="1:10" ht="17.850000000000001" customHeight="1">
      <c r="A98" s="21" t="str">
        <f>IFERROR(INDEX(全オプション!A:A,SMALL(全オプション!$F:$F,ROW(A96))),"")</f>
        <v/>
      </c>
      <c r="B98" s="20" t="str">
        <f>IFERROR(INDEX(全オプション!B:B,SMALL(全オプション!$F:$F,ROW(B96))),"")</f>
        <v/>
      </c>
      <c r="C98" s="9" t="str">
        <f>IFERROR(INDEX(全オプション!C:C,SMALL(全オプション!$F:$F,ROW(C96))),"")</f>
        <v/>
      </c>
      <c r="D98" s="18" t="str">
        <f>IFERROR(INDEX(全オプション!D:D,SMALL(全オプション!$F:$F,ROW(D96))),"")</f>
        <v/>
      </c>
      <c r="E98" s="19" t="str">
        <f>IFERROR(INDEX(全オプション!E:E,SMALL(全オプション!$F:$F,ROW(E96))),"")</f>
        <v/>
      </c>
      <c r="F98" s="2" t="str">
        <f>IFERROR(INDEX(全オプション!F:F,SMALL(全オプション!$F:$F,ROW(F96))),"")</f>
        <v/>
      </c>
      <c r="G98" s="4"/>
      <c r="H98" s="11" t="str">
        <f>IFERROR(INDEX(全オプション!H:H,SMALL(全オプション!$F:$F,ROW(H96))),"")</f>
        <v/>
      </c>
      <c r="I98" s="11" t="str">
        <f>IFERROR(INDEX(全オプション!I:I,SMALL(全オプション!$F:$F,ROW(I96))),"")</f>
        <v/>
      </c>
      <c r="J98" s="22" t="str">
        <f>IFERROR(INDEX(全オプション!J:J,SMALL(全オプション!$F:$F,ROW(J96))),"")</f>
        <v/>
      </c>
    </row>
    <row r="99" spans="1:10" ht="17.850000000000001" customHeight="1">
      <c r="A99" s="21" t="str">
        <f>IFERROR(INDEX(全オプション!A:A,SMALL(全オプション!$F:$F,ROW(A97))),"")</f>
        <v/>
      </c>
      <c r="B99" s="20" t="str">
        <f>IFERROR(INDEX(全オプション!B:B,SMALL(全オプション!$F:$F,ROW(B97))),"")</f>
        <v/>
      </c>
      <c r="C99" s="9" t="str">
        <f>IFERROR(INDEX(全オプション!C:C,SMALL(全オプション!$F:$F,ROW(C97))),"")</f>
        <v/>
      </c>
      <c r="D99" s="18" t="str">
        <f>IFERROR(INDEX(全オプション!D:D,SMALL(全オプション!$F:$F,ROW(D97))),"")</f>
        <v/>
      </c>
      <c r="E99" s="19" t="str">
        <f>IFERROR(INDEX(全オプション!E:E,SMALL(全オプション!$F:$F,ROW(E97))),"")</f>
        <v/>
      </c>
      <c r="F99" s="2" t="str">
        <f>IFERROR(INDEX(全オプション!F:F,SMALL(全オプション!$F:$F,ROW(F97))),"")</f>
        <v/>
      </c>
      <c r="G99" s="4"/>
      <c r="H99" s="11" t="str">
        <f>IFERROR(INDEX(全オプション!H:H,SMALL(全オプション!$F:$F,ROW(H97))),"")</f>
        <v/>
      </c>
      <c r="I99" s="11" t="str">
        <f>IFERROR(INDEX(全オプション!I:I,SMALL(全オプション!$F:$F,ROW(I97))),"")</f>
        <v/>
      </c>
      <c r="J99" s="22" t="str">
        <f>IFERROR(INDEX(全オプション!J:J,SMALL(全オプション!$F:$F,ROW(J97))),"")</f>
        <v/>
      </c>
    </row>
    <row r="100" spans="1:10" ht="17.850000000000001" customHeight="1">
      <c r="A100" s="21" t="str">
        <f>IFERROR(INDEX(全オプション!A:A,SMALL(全オプション!$F:$F,ROW(A98))),"")</f>
        <v/>
      </c>
      <c r="B100" s="20" t="str">
        <f>IFERROR(INDEX(全オプション!B:B,SMALL(全オプション!$F:$F,ROW(B98))),"")</f>
        <v/>
      </c>
      <c r="C100" s="9" t="str">
        <f>IFERROR(INDEX(全オプション!C:C,SMALL(全オプション!$F:$F,ROW(C98))),"")</f>
        <v/>
      </c>
      <c r="D100" s="18" t="str">
        <f>IFERROR(INDEX(全オプション!D:D,SMALL(全オプション!$F:$F,ROW(D98))),"")</f>
        <v/>
      </c>
      <c r="E100" s="19" t="str">
        <f>IFERROR(INDEX(全オプション!E:E,SMALL(全オプション!$F:$F,ROW(E98))),"")</f>
        <v/>
      </c>
      <c r="F100" s="2" t="str">
        <f>IFERROR(INDEX(全オプション!F:F,SMALL(全オプション!$F:$F,ROW(F98))),"")</f>
        <v/>
      </c>
      <c r="G100" s="4"/>
      <c r="H100" s="11" t="str">
        <f>IFERROR(INDEX(全オプション!H:H,SMALL(全オプション!$F:$F,ROW(H98))),"")</f>
        <v/>
      </c>
      <c r="I100" s="11" t="str">
        <f>IFERROR(INDEX(全オプション!I:I,SMALL(全オプション!$F:$F,ROW(I98))),"")</f>
        <v/>
      </c>
      <c r="J100" s="22" t="str">
        <f>IFERROR(INDEX(全オプション!J:J,SMALL(全オプション!$F:$F,ROW(J98))),"")</f>
        <v/>
      </c>
    </row>
    <row r="101" spans="1:10" ht="17.850000000000001" customHeight="1">
      <c r="A101" s="21" t="str">
        <f>IFERROR(INDEX(全オプション!A:A,SMALL(全オプション!$F:$F,ROW(A99))),"")</f>
        <v/>
      </c>
      <c r="B101" s="20" t="str">
        <f>IFERROR(INDEX(全オプション!B:B,SMALL(全オプション!$F:$F,ROW(B99))),"")</f>
        <v/>
      </c>
      <c r="C101" s="9" t="str">
        <f>IFERROR(INDEX(全オプション!C:C,SMALL(全オプション!$F:$F,ROW(C99))),"")</f>
        <v/>
      </c>
      <c r="D101" s="18" t="str">
        <f>IFERROR(INDEX(全オプション!D:D,SMALL(全オプション!$F:$F,ROW(D99))),"")</f>
        <v/>
      </c>
      <c r="E101" s="19" t="str">
        <f>IFERROR(INDEX(全オプション!E:E,SMALL(全オプション!$F:$F,ROW(E99))),"")</f>
        <v/>
      </c>
      <c r="F101" s="2" t="str">
        <f>IFERROR(INDEX(全オプション!F:F,SMALL(全オプション!$F:$F,ROW(F99))),"")</f>
        <v/>
      </c>
      <c r="G101" s="4"/>
      <c r="H101" s="11" t="str">
        <f>IFERROR(INDEX(全オプション!H:H,SMALL(全オプション!$F:$F,ROW(H99))),"")</f>
        <v/>
      </c>
      <c r="I101" s="11" t="str">
        <f>IFERROR(INDEX(全オプション!I:I,SMALL(全オプション!$F:$F,ROW(I99))),"")</f>
        <v/>
      </c>
      <c r="J101" s="22" t="str">
        <f>IFERROR(INDEX(全オプション!J:J,SMALL(全オプション!$F:$F,ROW(J99))),"")</f>
        <v/>
      </c>
    </row>
    <row r="102" spans="1:10" ht="17.850000000000001" customHeight="1">
      <c r="A102" s="21" t="str">
        <f>IFERROR(INDEX(全オプション!A:A,SMALL(全オプション!$F:$F,ROW(A100))),"")</f>
        <v/>
      </c>
      <c r="B102" s="20" t="str">
        <f>IFERROR(INDEX(全オプション!B:B,SMALL(全オプション!$F:$F,ROW(B100))),"")</f>
        <v/>
      </c>
      <c r="C102" s="9" t="str">
        <f>IFERROR(INDEX(全オプション!C:C,SMALL(全オプション!$F:$F,ROW(C100))),"")</f>
        <v/>
      </c>
      <c r="D102" s="18" t="str">
        <f>IFERROR(INDEX(全オプション!D:D,SMALL(全オプション!$F:$F,ROW(D100))),"")</f>
        <v/>
      </c>
      <c r="E102" s="19" t="str">
        <f>IFERROR(INDEX(全オプション!E:E,SMALL(全オプション!$F:$F,ROW(E100))),"")</f>
        <v/>
      </c>
      <c r="F102" s="2" t="str">
        <f>IFERROR(INDEX(全オプション!F:F,SMALL(全オプション!$F:$F,ROW(F100))),"")</f>
        <v/>
      </c>
      <c r="G102" s="4"/>
      <c r="H102" s="11" t="str">
        <f>IFERROR(INDEX(全オプション!H:H,SMALL(全オプション!$F:$F,ROW(H100))),"")</f>
        <v/>
      </c>
      <c r="I102" s="11" t="str">
        <f>IFERROR(INDEX(全オプション!I:I,SMALL(全オプション!$F:$F,ROW(I100))),"")</f>
        <v/>
      </c>
      <c r="J102" s="22" t="str">
        <f>IFERROR(INDEX(全オプション!J:J,SMALL(全オプション!$F:$F,ROW(J100))),"")</f>
        <v/>
      </c>
    </row>
    <row r="103" spans="1:10" ht="17.850000000000001" customHeight="1">
      <c r="A103" s="21" t="str">
        <f>IFERROR(INDEX(全オプション!A:A,SMALL(全オプション!$F:$F,ROW(A101))),"")</f>
        <v/>
      </c>
      <c r="B103" s="20" t="str">
        <f>IFERROR(INDEX(全オプション!B:B,SMALL(全オプション!$F:$F,ROW(B101))),"")</f>
        <v/>
      </c>
      <c r="C103" s="9" t="str">
        <f>IFERROR(INDEX(全オプション!C:C,SMALL(全オプション!$F:$F,ROW(C101))),"")</f>
        <v/>
      </c>
      <c r="D103" s="18" t="str">
        <f>IFERROR(INDEX(全オプション!D:D,SMALL(全オプション!$F:$F,ROW(D101))),"")</f>
        <v/>
      </c>
      <c r="E103" s="19" t="str">
        <f>IFERROR(INDEX(全オプション!E:E,SMALL(全オプション!$F:$F,ROW(E101))),"")</f>
        <v/>
      </c>
      <c r="F103" s="2" t="str">
        <f>IFERROR(INDEX(全オプション!F:F,SMALL(全オプション!$F:$F,ROW(F101))),"")</f>
        <v/>
      </c>
      <c r="G103" s="4"/>
      <c r="H103" s="11" t="str">
        <f>IFERROR(INDEX(全オプション!H:H,SMALL(全オプション!$F:$F,ROW(H101))),"")</f>
        <v/>
      </c>
      <c r="I103" s="11" t="str">
        <f>IFERROR(INDEX(全オプション!I:I,SMALL(全オプション!$F:$F,ROW(I101))),"")</f>
        <v/>
      </c>
      <c r="J103" s="22" t="str">
        <f>IFERROR(INDEX(全オプション!J:J,SMALL(全オプション!$F:$F,ROW(J101))),"")</f>
        <v/>
      </c>
    </row>
    <row r="104" spans="1:10" ht="17.850000000000001" customHeight="1">
      <c r="A104" s="21" t="str">
        <f>IFERROR(INDEX(全オプション!A:A,SMALL(全オプション!$F:$F,ROW(A102))),"")</f>
        <v/>
      </c>
      <c r="B104" s="20" t="str">
        <f>IFERROR(INDEX(全オプション!B:B,SMALL(全オプション!$F:$F,ROW(B102))),"")</f>
        <v/>
      </c>
      <c r="C104" s="9" t="str">
        <f>IFERROR(INDEX(全オプション!C:C,SMALL(全オプション!$F:$F,ROW(C102))),"")</f>
        <v/>
      </c>
      <c r="D104" s="18" t="str">
        <f>IFERROR(INDEX(全オプション!D:D,SMALL(全オプション!$F:$F,ROW(D102))),"")</f>
        <v/>
      </c>
      <c r="E104" s="19" t="str">
        <f>IFERROR(INDEX(全オプション!E:E,SMALL(全オプション!$F:$F,ROW(E102))),"")</f>
        <v/>
      </c>
      <c r="F104" s="2" t="str">
        <f>IFERROR(INDEX(全オプション!F:F,SMALL(全オプション!$F:$F,ROW(F102))),"")</f>
        <v/>
      </c>
      <c r="G104" s="4"/>
      <c r="H104" s="11" t="str">
        <f>IFERROR(INDEX(全オプション!H:H,SMALL(全オプション!$F:$F,ROW(H102))),"")</f>
        <v/>
      </c>
      <c r="I104" s="11" t="str">
        <f>IFERROR(INDEX(全オプション!I:I,SMALL(全オプション!$F:$F,ROW(I102))),"")</f>
        <v/>
      </c>
      <c r="J104" s="22" t="str">
        <f>IFERROR(INDEX(全オプション!J:J,SMALL(全オプション!$F:$F,ROW(J102))),"")</f>
        <v/>
      </c>
    </row>
    <row r="105" spans="1:10" ht="17.850000000000001" customHeight="1">
      <c r="A105" s="21" t="str">
        <f>IFERROR(INDEX(全オプション!A:A,SMALL(全オプション!$F:$F,ROW(A103))),"")</f>
        <v/>
      </c>
      <c r="B105" s="20" t="str">
        <f>IFERROR(INDEX(全オプション!B:B,SMALL(全オプション!$F:$F,ROW(B103))),"")</f>
        <v/>
      </c>
      <c r="C105" s="9" t="str">
        <f>IFERROR(INDEX(全オプション!C:C,SMALL(全オプション!$F:$F,ROW(C103))),"")</f>
        <v/>
      </c>
      <c r="D105" s="18" t="str">
        <f>IFERROR(INDEX(全オプション!D:D,SMALL(全オプション!$F:$F,ROW(D103))),"")</f>
        <v/>
      </c>
      <c r="E105" s="19" t="str">
        <f>IFERROR(INDEX(全オプション!E:E,SMALL(全オプション!$F:$F,ROW(E103))),"")</f>
        <v/>
      </c>
      <c r="F105" s="2" t="str">
        <f>IFERROR(INDEX(全オプション!F:F,SMALL(全オプション!$F:$F,ROW(F103))),"")</f>
        <v/>
      </c>
      <c r="G105" s="4"/>
      <c r="H105" s="11" t="str">
        <f>IFERROR(INDEX(全オプション!H:H,SMALL(全オプション!$F:$F,ROW(H103))),"")</f>
        <v/>
      </c>
      <c r="I105" s="11" t="str">
        <f>IFERROR(INDEX(全オプション!I:I,SMALL(全オプション!$F:$F,ROW(I103))),"")</f>
        <v/>
      </c>
      <c r="J105" s="22" t="str">
        <f>IFERROR(INDEX(全オプション!J:J,SMALL(全オプション!$F:$F,ROW(J103))),"")</f>
        <v/>
      </c>
    </row>
    <row r="106" spans="1:10" ht="17.850000000000001" customHeight="1">
      <c r="A106" s="21" t="str">
        <f>IFERROR(INDEX(全オプション!A:A,SMALL(全オプション!$F:$F,ROW(A104))),"")</f>
        <v/>
      </c>
      <c r="B106" s="20" t="str">
        <f>IFERROR(INDEX(全オプション!B:B,SMALL(全オプション!$F:$F,ROW(B104))),"")</f>
        <v/>
      </c>
      <c r="C106" s="9" t="str">
        <f>IFERROR(INDEX(全オプション!C:C,SMALL(全オプション!$F:$F,ROW(C104))),"")</f>
        <v/>
      </c>
      <c r="D106" s="18" t="str">
        <f>IFERROR(INDEX(全オプション!D:D,SMALL(全オプション!$F:$F,ROW(D104))),"")</f>
        <v/>
      </c>
      <c r="E106" s="19" t="str">
        <f>IFERROR(INDEX(全オプション!E:E,SMALL(全オプション!$F:$F,ROW(E104))),"")</f>
        <v/>
      </c>
      <c r="F106" s="2" t="str">
        <f>IFERROR(INDEX(全オプション!F:F,SMALL(全オプション!$F:$F,ROW(F104))),"")</f>
        <v/>
      </c>
      <c r="G106" s="4"/>
      <c r="H106" s="11" t="str">
        <f>IFERROR(INDEX(全オプション!H:H,SMALL(全オプション!$F:$F,ROW(H104))),"")</f>
        <v/>
      </c>
      <c r="I106" s="11" t="str">
        <f>IFERROR(INDEX(全オプション!I:I,SMALL(全オプション!$F:$F,ROW(I104))),"")</f>
        <v/>
      </c>
      <c r="J106" s="22" t="str">
        <f>IFERROR(INDEX(全オプション!J:J,SMALL(全オプション!$F:$F,ROW(J104))),"")</f>
        <v/>
      </c>
    </row>
    <row r="107" spans="1:10" ht="17.850000000000001" customHeight="1">
      <c r="A107" s="21" t="str">
        <f>IFERROR(INDEX(全オプション!A:A,SMALL(全オプション!$F:$F,ROW(A105))),"")</f>
        <v/>
      </c>
      <c r="B107" s="20" t="str">
        <f>IFERROR(INDEX(全オプション!B:B,SMALL(全オプション!$F:$F,ROW(B105))),"")</f>
        <v/>
      </c>
      <c r="C107" s="9" t="str">
        <f>IFERROR(INDEX(全オプション!C:C,SMALL(全オプション!$F:$F,ROW(C105))),"")</f>
        <v/>
      </c>
      <c r="D107" s="18" t="str">
        <f>IFERROR(INDEX(全オプション!D:D,SMALL(全オプション!$F:$F,ROW(D105))),"")</f>
        <v/>
      </c>
      <c r="E107" s="19" t="str">
        <f>IFERROR(INDEX(全オプション!E:E,SMALL(全オプション!$F:$F,ROW(E105))),"")</f>
        <v/>
      </c>
      <c r="F107" s="2" t="str">
        <f>IFERROR(INDEX(全オプション!F:F,SMALL(全オプション!$F:$F,ROW(F105))),"")</f>
        <v/>
      </c>
      <c r="G107" s="4"/>
      <c r="H107" s="11" t="str">
        <f>IFERROR(INDEX(全オプション!H:H,SMALL(全オプション!$F:$F,ROW(H105))),"")</f>
        <v/>
      </c>
      <c r="I107" s="11" t="str">
        <f>IFERROR(INDEX(全オプション!I:I,SMALL(全オプション!$F:$F,ROW(I105))),"")</f>
        <v/>
      </c>
      <c r="J107" s="22" t="str">
        <f>IFERROR(INDEX(全オプション!J:J,SMALL(全オプション!$F:$F,ROW(J105))),"")</f>
        <v/>
      </c>
    </row>
    <row r="108" spans="1:10" ht="17.850000000000001" customHeight="1">
      <c r="A108" s="21" t="str">
        <f>IFERROR(INDEX(全オプション!A:A,SMALL(全オプション!$F:$F,ROW(A106))),"")</f>
        <v/>
      </c>
      <c r="B108" s="20" t="str">
        <f>IFERROR(INDEX(全オプション!B:B,SMALL(全オプション!$F:$F,ROW(B106))),"")</f>
        <v/>
      </c>
      <c r="C108" s="9" t="str">
        <f>IFERROR(INDEX(全オプション!C:C,SMALL(全オプション!$F:$F,ROW(C106))),"")</f>
        <v/>
      </c>
      <c r="D108" s="18" t="str">
        <f>IFERROR(INDEX(全オプション!D:D,SMALL(全オプション!$F:$F,ROW(D106))),"")</f>
        <v/>
      </c>
      <c r="E108" s="19" t="str">
        <f>IFERROR(INDEX(全オプション!E:E,SMALL(全オプション!$F:$F,ROW(E106))),"")</f>
        <v/>
      </c>
      <c r="F108" s="2" t="str">
        <f>IFERROR(INDEX(全オプション!F:F,SMALL(全オプション!$F:$F,ROW(F106))),"")</f>
        <v/>
      </c>
      <c r="G108" s="3"/>
      <c r="H108" s="11" t="str">
        <f>IFERROR(INDEX(全オプション!H:H,SMALL(全オプション!$F:$F,ROW(H106))),"")</f>
        <v/>
      </c>
      <c r="I108" s="11" t="str">
        <f>IFERROR(INDEX(全オプション!I:I,SMALL(全オプション!$F:$F,ROW(I106))),"")</f>
        <v/>
      </c>
      <c r="J108" s="22" t="str">
        <f>IFERROR(INDEX(全オプション!J:J,SMALL(全オプション!$F:$F,ROW(J106))),"")</f>
        <v/>
      </c>
    </row>
    <row r="109" spans="1:10" ht="17.850000000000001" customHeight="1">
      <c r="A109" s="21" t="str">
        <f>IFERROR(INDEX(全オプション!A:A,SMALL(全オプション!$F:$F,ROW(A107))),"")</f>
        <v/>
      </c>
      <c r="B109" s="20" t="str">
        <f>IFERROR(INDEX(全オプション!B:B,SMALL(全オプション!$F:$F,ROW(B107))),"")</f>
        <v/>
      </c>
      <c r="C109" s="9" t="str">
        <f>IFERROR(INDEX(全オプション!C:C,SMALL(全オプション!$F:$F,ROW(C107))),"")</f>
        <v/>
      </c>
      <c r="D109" s="18" t="str">
        <f>IFERROR(INDEX(全オプション!D:D,SMALL(全オプション!$F:$F,ROW(D107))),"")</f>
        <v/>
      </c>
      <c r="E109" s="19" t="str">
        <f>IFERROR(INDEX(全オプション!E:E,SMALL(全オプション!$F:$F,ROW(E107))),"")</f>
        <v/>
      </c>
      <c r="F109" s="2" t="str">
        <f>IFERROR(INDEX(全オプション!F:F,SMALL(全オプション!$F:$F,ROW(F107))),"")</f>
        <v/>
      </c>
      <c r="G109" s="4"/>
      <c r="H109" s="11" t="str">
        <f>IFERROR(INDEX(全オプション!H:H,SMALL(全オプション!$F:$F,ROW(H107))),"")</f>
        <v/>
      </c>
      <c r="I109" s="11" t="str">
        <f>IFERROR(INDEX(全オプション!I:I,SMALL(全オプション!$F:$F,ROW(I107))),"")</f>
        <v/>
      </c>
      <c r="J109" s="22" t="str">
        <f>IFERROR(INDEX(全オプション!J:J,SMALL(全オプション!$F:$F,ROW(J107))),"")</f>
        <v/>
      </c>
    </row>
    <row r="110" spans="1:10" ht="17.850000000000001" customHeight="1">
      <c r="A110" s="21" t="str">
        <f>IFERROR(INDEX(全オプション!A:A,SMALL(全オプション!$F:$F,ROW(A108))),"")</f>
        <v/>
      </c>
      <c r="B110" s="20" t="str">
        <f>IFERROR(INDEX(全オプション!B:B,SMALL(全オプション!$F:$F,ROW(B108))),"")</f>
        <v/>
      </c>
      <c r="C110" s="9" t="str">
        <f>IFERROR(INDEX(全オプション!C:C,SMALL(全オプション!$F:$F,ROW(C108))),"")</f>
        <v/>
      </c>
      <c r="D110" s="18" t="str">
        <f>IFERROR(INDEX(全オプション!D:D,SMALL(全オプション!$F:$F,ROW(D108))),"")</f>
        <v/>
      </c>
      <c r="E110" s="19" t="str">
        <f>IFERROR(INDEX(全オプション!E:E,SMALL(全オプション!$F:$F,ROW(E108))),"")</f>
        <v/>
      </c>
      <c r="F110" s="2" t="str">
        <f>IFERROR(INDEX(全オプション!F:F,SMALL(全オプション!$F:$F,ROW(F108))),"")</f>
        <v/>
      </c>
      <c r="G110" s="4"/>
      <c r="H110" s="11" t="str">
        <f>IFERROR(INDEX(全オプション!H:H,SMALL(全オプション!$F:$F,ROW(H108))),"")</f>
        <v/>
      </c>
      <c r="I110" s="11" t="str">
        <f>IFERROR(INDEX(全オプション!I:I,SMALL(全オプション!$F:$F,ROW(I108))),"")</f>
        <v/>
      </c>
      <c r="J110" s="22" t="str">
        <f>IFERROR(INDEX(全オプション!J:J,SMALL(全オプション!$F:$F,ROW(J108))),"")</f>
        <v/>
      </c>
    </row>
    <row r="111" spans="1:10" ht="17.850000000000001" customHeight="1">
      <c r="A111" s="21" t="str">
        <f>IFERROR(INDEX(全オプション!A:A,SMALL(全オプション!$F:$F,ROW(A109))),"")</f>
        <v/>
      </c>
      <c r="B111" s="20" t="str">
        <f>IFERROR(INDEX(全オプション!B:B,SMALL(全オプション!$F:$F,ROW(B109))),"")</f>
        <v/>
      </c>
      <c r="C111" s="9" t="str">
        <f>IFERROR(INDEX(全オプション!C:C,SMALL(全オプション!$F:$F,ROW(C109))),"")</f>
        <v/>
      </c>
      <c r="D111" s="18" t="str">
        <f>IFERROR(INDEX(全オプション!D:D,SMALL(全オプション!$F:$F,ROW(D109))),"")</f>
        <v/>
      </c>
      <c r="E111" s="19" t="str">
        <f>IFERROR(INDEX(全オプション!E:E,SMALL(全オプション!$F:$F,ROW(E109))),"")</f>
        <v/>
      </c>
      <c r="F111" s="2" t="str">
        <f>IFERROR(INDEX(全オプション!F:F,SMALL(全オプション!$F:$F,ROW(F109))),"")</f>
        <v/>
      </c>
      <c r="G111" s="5"/>
      <c r="H111" s="11" t="str">
        <f>IFERROR(INDEX(全オプション!H:H,SMALL(全オプション!$F:$F,ROW(H109))),"")</f>
        <v/>
      </c>
      <c r="I111" s="11" t="str">
        <f>IFERROR(INDEX(全オプション!I:I,SMALL(全オプション!$F:$F,ROW(I109))),"")</f>
        <v/>
      </c>
      <c r="J111" s="22" t="str">
        <f>IFERROR(INDEX(全オプション!J:J,SMALL(全オプション!$F:$F,ROW(J109))),"")</f>
        <v/>
      </c>
    </row>
    <row r="112" spans="1:10" ht="17.850000000000001" customHeight="1">
      <c r="A112" s="21" t="str">
        <f>IFERROR(INDEX(全オプション!A:A,SMALL(全オプション!$F:$F,ROW(A110))),"")</f>
        <v/>
      </c>
      <c r="B112" s="20" t="str">
        <f>IFERROR(INDEX(全オプション!B:B,SMALL(全オプション!$F:$F,ROW(B110))),"")</f>
        <v/>
      </c>
      <c r="C112" s="9" t="str">
        <f>IFERROR(INDEX(全オプション!C:C,SMALL(全オプション!$F:$F,ROW(C110))),"")</f>
        <v/>
      </c>
      <c r="D112" s="18" t="str">
        <f>IFERROR(INDEX(全オプション!D:D,SMALL(全オプション!$F:$F,ROW(D110))),"")</f>
        <v/>
      </c>
      <c r="E112" s="19" t="str">
        <f>IFERROR(INDEX(全オプション!E:E,SMALL(全オプション!$F:$F,ROW(E110))),"")</f>
        <v/>
      </c>
      <c r="F112" s="2" t="str">
        <f>IFERROR(INDEX(全オプション!F:F,SMALL(全オプション!$F:$F,ROW(F110))),"")</f>
        <v/>
      </c>
      <c r="G112" s="4"/>
      <c r="H112" s="11" t="str">
        <f>IFERROR(INDEX(全オプション!H:H,SMALL(全オプション!$F:$F,ROW(H110))),"")</f>
        <v/>
      </c>
      <c r="I112" s="11" t="str">
        <f>IFERROR(INDEX(全オプション!I:I,SMALL(全オプション!$F:$F,ROW(I110))),"")</f>
        <v/>
      </c>
      <c r="J112" s="22" t="str">
        <f>IFERROR(INDEX(全オプション!J:J,SMALL(全オプション!$F:$F,ROW(J110))),"")</f>
        <v/>
      </c>
    </row>
    <row r="113" spans="1:10" ht="17.850000000000001" customHeight="1">
      <c r="A113" s="21" t="str">
        <f>IFERROR(INDEX(全オプション!A:A,SMALL(全オプション!$F:$F,ROW(A111))),"")</f>
        <v/>
      </c>
      <c r="B113" s="20" t="str">
        <f>IFERROR(INDEX(全オプション!B:B,SMALL(全オプション!$F:$F,ROW(B111))),"")</f>
        <v/>
      </c>
      <c r="C113" s="9" t="str">
        <f>IFERROR(INDEX(全オプション!C:C,SMALL(全オプション!$F:$F,ROW(C111))),"")</f>
        <v/>
      </c>
      <c r="D113" s="18" t="str">
        <f>IFERROR(INDEX(全オプション!D:D,SMALL(全オプション!$F:$F,ROW(D111))),"")</f>
        <v/>
      </c>
      <c r="E113" s="19" t="str">
        <f>IFERROR(INDEX(全オプション!E:E,SMALL(全オプション!$F:$F,ROW(E111))),"")</f>
        <v/>
      </c>
      <c r="F113" s="2" t="str">
        <f>IFERROR(INDEX(全オプション!F:F,SMALL(全オプション!$F:$F,ROW(F111))),"")</f>
        <v/>
      </c>
      <c r="G113" s="4"/>
      <c r="H113" s="11" t="str">
        <f>IFERROR(INDEX(全オプション!H:H,SMALL(全オプション!$F:$F,ROW(H111))),"")</f>
        <v/>
      </c>
      <c r="I113" s="11" t="str">
        <f>IFERROR(INDEX(全オプション!I:I,SMALL(全オプション!$F:$F,ROW(I111))),"")</f>
        <v/>
      </c>
      <c r="J113" s="22" t="str">
        <f>IFERROR(INDEX(全オプション!J:J,SMALL(全オプション!$F:$F,ROW(J111))),"")</f>
        <v/>
      </c>
    </row>
    <row r="114" spans="1:10" ht="17.850000000000001" customHeight="1">
      <c r="A114" s="21" t="str">
        <f>IFERROR(INDEX(全オプション!A:A,SMALL(全オプション!$F:$F,ROW(A112))),"")</f>
        <v/>
      </c>
      <c r="B114" s="20" t="str">
        <f>IFERROR(INDEX(全オプション!B:B,SMALL(全オプション!$F:$F,ROW(B112))),"")</f>
        <v/>
      </c>
      <c r="C114" s="9" t="str">
        <f>IFERROR(INDEX(全オプション!C:C,SMALL(全オプション!$F:$F,ROW(C112))),"")</f>
        <v/>
      </c>
      <c r="D114" s="18" t="str">
        <f>IFERROR(INDEX(全オプション!D:D,SMALL(全オプション!$F:$F,ROW(D112))),"")</f>
        <v/>
      </c>
      <c r="E114" s="19" t="str">
        <f>IFERROR(INDEX(全オプション!E:E,SMALL(全オプション!$F:$F,ROW(E112))),"")</f>
        <v/>
      </c>
      <c r="F114" s="2" t="str">
        <f>IFERROR(INDEX(全オプション!F:F,SMALL(全オプション!$F:$F,ROW(F112))),"")</f>
        <v/>
      </c>
      <c r="G114" s="4"/>
      <c r="H114" s="11" t="str">
        <f>IFERROR(INDEX(全オプション!H:H,SMALL(全オプション!$F:$F,ROW(H112))),"")</f>
        <v/>
      </c>
      <c r="I114" s="11" t="str">
        <f>IFERROR(INDEX(全オプション!I:I,SMALL(全オプション!$F:$F,ROW(I112))),"")</f>
        <v/>
      </c>
      <c r="J114" s="22" t="str">
        <f>IFERROR(INDEX(全オプション!J:J,SMALL(全オプション!$F:$F,ROW(J112))),"")</f>
        <v/>
      </c>
    </row>
    <row r="115" spans="1:10" ht="17.850000000000001" customHeight="1">
      <c r="A115" s="21" t="str">
        <f>IFERROR(INDEX(全オプション!A:A,SMALL(全オプション!$F:$F,ROW(A113))),"")</f>
        <v/>
      </c>
      <c r="B115" s="20" t="str">
        <f>IFERROR(INDEX(全オプション!B:B,SMALL(全オプション!$F:$F,ROW(B113))),"")</f>
        <v/>
      </c>
      <c r="C115" s="9" t="str">
        <f>IFERROR(INDEX(全オプション!C:C,SMALL(全オプション!$F:$F,ROW(C113))),"")</f>
        <v/>
      </c>
      <c r="D115" s="18" t="str">
        <f>IFERROR(INDEX(全オプション!D:D,SMALL(全オプション!$F:$F,ROW(D113))),"")</f>
        <v/>
      </c>
      <c r="E115" s="19" t="str">
        <f>IFERROR(INDEX(全オプション!E:E,SMALL(全オプション!$F:$F,ROW(E113))),"")</f>
        <v/>
      </c>
      <c r="F115" s="2" t="str">
        <f>IFERROR(INDEX(全オプション!F:F,SMALL(全オプション!$F:$F,ROW(F113))),"")</f>
        <v/>
      </c>
      <c r="G115" s="4"/>
      <c r="H115" s="11" t="str">
        <f>IFERROR(INDEX(全オプション!H:H,SMALL(全オプション!$F:$F,ROW(H113))),"")</f>
        <v/>
      </c>
      <c r="I115" s="11" t="str">
        <f>IFERROR(INDEX(全オプション!I:I,SMALL(全オプション!$F:$F,ROW(I113))),"")</f>
        <v/>
      </c>
      <c r="J115" s="22" t="str">
        <f>IFERROR(INDEX(全オプション!J:J,SMALL(全オプション!$F:$F,ROW(J113))),"")</f>
        <v/>
      </c>
    </row>
    <row r="116" spans="1:10" ht="17.850000000000001" customHeight="1">
      <c r="A116" s="21" t="str">
        <f>IFERROR(INDEX(全オプション!A:A,SMALL(全オプション!$F:$F,ROW(A114))),"")</f>
        <v/>
      </c>
      <c r="B116" s="20" t="str">
        <f>IFERROR(INDEX(全オプション!B:B,SMALL(全オプション!$F:$F,ROW(B114))),"")</f>
        <v/>
      </c>
      <c r="C116" s="9" t="str">
        <f>IFERROR(INDEX(全オプション!C:C,SMALL(全オプション!$F:$F,ROW(C114))),"")</f>
        <v/>
      </c>
      <c r="D116" s="18" t="str">
        <f>IFERROR(INDEX(全オプション!D:D,SMALL(全オプション!$F:$F,ROW(D114))),"")</f>
        <v/>
      </c>
      <c r="E116" s="19" t="str">
        <f>IFERROR(INDEX(全オプション!E:E,SMALL(全オプション!$F:$F,ROW(E114))),"")</f>
        <v/>
      </c>
      <c r="F116" s="2" t="str">
        <f>IFERROR(INDEX(全オプション!F:F,SMALL(全オプション!$F:$F,ROW(F114))),"")</f>
        <v/>
      </c>
      <c r="G116" s="4"/>
      <c r="H116" s="11" t="str">
        <f>IFERROR(INDEX(全オプション!H:H,SMALL(全オプション!$F:$F,ROW(H114))),"")</f>
        <v/>
      </c>
      <c r="I116" s="11" t="str">
        <f>IFERROR(INDEX(全オプション!I:I,SMALL(全オプション!$F:$F,ROW(I114))),"")</f>
        <v/>
      </c>
      <c r="J116" s="22" t="str">
        <f>IFERROR(INDEX(全オプション!J:J,SMALL(全オプション!$F:$F,ROW(J114))),"")</f>
        <v/>
      </c>
    </row>
    <row r="117" spans="1:10" ht="17.850000000000001" customHeight="1">
      <c r="A117" s="21" t="str">
        <f>IFERROR(INDEX(全オプション!A:A,SMALL(全オプション!$F:$F,ROW(A115))),"")</f>
        <v/>
      </c>
      <c r="B117" s="20" t="str">
        <f>IFERROR(INDEX(全オプション!B:B,SMALL(全オプション!$F:$F,ROW(B115))),"")</f>
        <v/>
      </c>
      <c r="C117" s="9" t="str">
        <f>IFERROR(INDEX(全オプション!C:C,SMALL(全オプション!$F:$F,ROW(C115))),"")</f>
        <v/>
      </c>
      <c r="D117" s="18" t="str">
        <f>IFERROR(INDEX(全オプション!D:D,SMALL(全オプション!$F:$F,ROW(D115))),"")</f>
        <v/>
      </c>
      <c r="E117" s="19" t="str">
        <f>IFERROR(INDEX(全オプション!E:E,SMALL(全オプション!$F:$F,ROW(E115))),"")</f>
        <v/>
      </c>
      <c r="F117" s="2" t="str">
        <f>IFERROR(INDEX(全オプション!F:F,SMALL(全オプション!$F:$F,ROW(F115))),"")</f>
        <v/>
      </c>
      <c r="G117" s="4"/>
      <c r="H117" s="11" t="str">
        <f>IFERROR(INDEX(全オプション!H:H,SMALL(全オプション!$F:$F,ROW(H115))),"")</f>
        <v/>
      </c>
      <c r="I117" s="11" t="str">
        <f>IFERROR(INDEX(全オプション!I:I,SMALL(全オプション!$F:$F,ROW(I115))),"")</f>
        <v/>
      </c>
      <c r="J117" s="22" t="str">
        <f>IFERROR(INDEX(全オプション!J:J,SMALL(全オプション!$F:$F,ROW(J115))),"")</f>
        <v/>
      </c>
    </row>
    <row r="118" spans="1:10" ht="17.850000000000001" customHeight="1">
      <c r="A118" s="21" t="str">
        <f>IFERROR(INDEX(全オプション!A:A,SMALL(全オプション!$F:$F,ROW(A116))),"")</f>
        <v/>
      </c>
      <c r="B118" s="20" t="str">
        <f>IFERROR(INDEX(全オプション!B:B,SMALL(全オプション!$F:$F,ROW(B116))),"")</f>
        <v/>
      </c>
      <c r="C118" s="9" t="str">
        <f>IFERROR(INDEX(全オプション!C:C,SMALL(全オプション!$F:$F,ROW(C116))),"")</f>
        <v/>
      </c>
      <c r="D118" s="18" t="str">
        <f>IFERROR(INDEX(全オプション!D:D,SMALL(全オプション!$F:$F,ROW(D116))),"")</f>
        <v/>
      </c>
      <c r="E118" s="19" t="str">
        <f>IFERROR(INDEX(全オプション!E:E,SMALL(全オプション!$F:$F,ROW(E116))),"")</f>
        <v/>
      </c>
      <c r="F118" s="2" t="str">
        <f>IFERROR(INDEX(全オプション!F:F,SMALL(全オプション!$F:$F,ROW(F116))),"")</f>
        <v/>
      </c>
      <c r="G118" s="5"/>
      <c r="H118" s="11" t="str">
        <f>IFERROR(INDEX(全オプション!H:H,SMALL(全オプション!$F:$F,ROW(H116))),"")</f>
        <v/>
      </c>
      <c r="I118" s="11" t="str">
        <f>IFERROR(INDEX(全オプション!I:I,SMALL(全オプション!$F:$F,ROW(I116))),"")</f>
        <v/>
      </c>
      <c r="J118" s="22" t="str">
        <f>IFERROR(INDEX(全オプション!J:J,SMALL(全オプション!$F:$F,ROW(J116))),"")</f>
        <v/>
      </c>
    </row>
    <row r="119" spans="1:10" ht="17.850000000000001" customHeight="1">
      <c r="A119" s="21" t="str">
        <f>IFERROR(INDEX(全オプション!A:A,SMALL(全オプション!$F:$F,ROW(A117))),"")</f>
        <v/>
      </c>
      <c r="B119" s="20" t="str">
        <f>IFERROR(INDEX(全オプション!B:B,SMALL(全オプション!$F:$F,ROW(B117))),"")</f>
        <v/>
      </c>
      <c r="C119" s="9" t="str">
        <f>IFERROR(INDEX(全オプション!C:C,SMALL(全オプション!$F:$F,ROW(C117))),"")</f>
        <v/>
      </c>
      <c r="D119" s="18" t="str">
        <f>IFERROR(INDEX(全オプション!D:D,SMALL(全オプション!$F:$F,ROW(D117))),"")</f>
        <v/>
      </c>
      <c r="E119" s="19" t="str">
        <f>IFERROR(INDEX(全オプション!E:E,SMALL(全オプション!$F:$F,ROW(E117))),"")</f>
        <v/>
      </c>
      <c r="F119" s="2" t="str">
        <f>IFERROR(INDEX(全オプション!F:F,SMALL(全オプション!$F:$F,ROW(F117))),"")</f>
        <v/>
      </c>
      <c r="G119" s="5"/>
      <c r="H119" s="11" t="str">
        <f>IFERROR(INDEX(全オプション!H:H,SMALL(全オプション!$F:$F,ROW(H117))),"")</f>
        <v/>
      </c>
      <c r="I119" s="11" t="str">
        <f>IFERROR(INDEX(全オプション!I:I,SMALL(全オプション!$F:$F,ROW(I117))),"")</f>
        <v/>
      </c>
      <c r="J119" s="22" t="str">
        <f>IFERROR(INDEX(全オプション!J:J,SMALL(全オプション!$F:$F,ROW(J117))),"")</f>
        <v/>
      </c>
    </row>
    <row r="120" spans="1:10" ht="17.850000000000001" customHeight="1">
      <c r="A120" s="21" t="str">
        <f>IFERROR(INDEX(全オプション!A:A,SMALL(全オプション!$F:$F,ROW(A118))),"")</f>
        <v/>
      </c>
      <c r="B120" s="20" t="str">
        <f>IFERROR(INDEX(全オプション!B:B,SMALL(全オプション!$F:$F,ROW(B118))),"")</f>
        <v/>
      </c>
      <c r="C120" s="9" t="str">
        <f>IFERROR(INDEX(全オプション!C:C,SMALL(全オプション!$F:$F,ROW(C118))),"")</f>
        <v/>
      </c>
      <c r="D120" s="18" t="str">
        <f>IFERROR(INDEX(全オプション!D:D,SMALL(全オプション!$F:$F,ROW(D118))),"")</f>
        <v/>
      </c>
      <c r="E120" s="19" t="str">
        <f>IFERROR(INDEX(全オプション!E:E,SMALL(全オプション!$F:$F,ROW(E118))),"")</f>
        <v/>
      </c>
      <c r="F120" s="2" t="str">
        <f>IFERROR(INDEX(全オプション!F:F,SMALL(全オプション!$F:$F,ROW(F118))),"")</f>
        <v/>
      </c>
      <c r="G120" s="4"/>
      <c r="H120" s="11" t="str">
        <f>IFERROR(INDEX(全オプション!H:H,SMALL(全オプション!$F:$F,ROW(H118))),"")</f>
        <v/>
      </c>
      <c r="I120" s="11" t="str">
        <f>IFERROR(INDEX(全オプション!I:I,SMALL(全オプション!$F:$F,ROW(I118))),"")</f>
        <v/>
      </c>
      <c r="J120" s="22" t="str">
        <f>IFERROR(INDEX(全オプション!J:J,SMALL(全オプション!$F:$F,ROW(J118))),"")</f>
        <v/>
      </c>
    </row>
    <row r="121" spans="1:10" ht="17.850000000000001" customHeight="1">
      <c r="A121" s="21" t="str">
        <f>IFERROR(INDEX(全オプション!A:A,SMALL(全オプション!$F:$F,ROW(A119))),"")</f>
        <v/>
      </c>
      <c r="B121" s="20" t="str">
        <f>IFERROR(INDEX(全オプション!B:B,SMALL(全オプション!$F:$F,ROW(B119))),"")</f>
        <v/>
      </c>
      <c r="C121" s="9" t="str">
        <f>IFERROR(INDEX(全オプション!C:C,SMALL(全オプション!$F:$F,ROW(C119))),"")</f>
        <v/>
      </c>
      <c r="D121" s="18" t="str">
        <f>IFERROR(INDEX(全オプション!D:D,SMALL(全オプション!$F:$F,ROW(D119))),"")</f>
        <v/>
      </c>
      <c r="E121" s="19" t="str">
        <f>IFERROR(INDEX(全オプション!E:E,SMALL(全オプション!$F:$F,ROW(E119))),"")</f>
        <v/>
      </c>
      <c r="F121" s="2" t="str">
        <f>IFERROR(INDEX(全オプション!F:F,SMALL(全オプション!$F:$F,ROW(F119))),"")</f>
        <v/>
      </c>
      <c r="G121" s="4"/>
      <c r="H121" s="11" t="str">
        <f>IFERROR(INDEX(全オプション!H:H,SMALL(全オプション!$F:$F,ROW(H119))),"")</f>
        <v/>
      </c>
      <c r="I121" s="11" t="str">
        <f>IFERROR(INDEX(全オプション!I:I,SMALL(全オプション!$F:$F,ROW(I119))),"")</f>
        <v/>
      </c>
      <c r="J121" s="22" t="str">
        <f>IFERROR(INDEX(全オプション!J:J,SMALL(全オプション!$F:$F,ROW(J119))),"")</f>
        <v/>
      </c>
    </row>
    <row r="122" spans="1:10" ht="17.850000000000001" customHeight="1">
      <c r="A122" s="21" t="str">
        <f>IFERROR(INDEX(全オプション!A:A,SMALL(全オプション!$F:$F,ROW(A120))),"")</f>
        <v/>
      </c>
      <c r="B122" s="20" t="str">
        <f>IFERROR(INDEX(全オプション!B:B,SMALL(全オプション!$F:$F,ROW(B120))),"")</f>
        <v/>
      </c>
      <c r="C122" s="9" t="str">
        <f>IFERROR(INDEX(全オプション!C:C,SMALL(全オプション!$F:$F,ROW(C120))),"")</f>
        <v/>
      </c>
      <c r="D122" s="18" t="str">
        <f>IFERROR(INDEX(全オプション!D:D,SMALL(全オプション!$F:$F,ROW(D120))),"")</f>
        <v/>
      </c>
      <c r="E122" s="19" t="str">
        <f>IFERROR(INDEX(全オプション!E:E,SMALL(全オプション!$F:$F,ROW(E120))),"")</f>
        <v/>
      </c>
      <c r="F122" s="2" t="str">
        <f>IFERROR(INDEX(全オプション!F:F,SMALL(全オプション!$F:$F,ROW(F120))),"")</f>
        <v/>
      </c>
      <c r="G122" s="4"/>
      <c r="H122" s="11" t="str">
        <f>IFERROR(INDEX(全オプション!H:H,SMALL(全オプション!$F:$F,ROW(H120))),"")</f>
        <v/>
      </c>
      <c r="I122" s="11" t="str">
        <f>IFERROR(INDEX(全オプション!I:I,SMALL(全オプション!$F:$F,ROW(I120))),"")</f>
        <v/>
      </c>
      <c r="J122" s="22" t="str">
        <f>IFERROR(INDEX(全オプション!J:J,SMALL(全オプション!$F:$F,ROW(J120))),"")</f>
        <v/>
      </c>
    </row>
    <row r="123" spans="1:10" ht="17.850000000000001" customHeight="1">
      <c r="A123" s="21" t="str">
        <f>IFERROR(INDEX(全オプション!A:A,SMALL(全オプション!$F:$F,ROW(A121))),"")</f>
        <v/>
      </c>
      <c r="B123" s="20" t="str">
        <f>IFERROR(INDEX(全オプション!B:B,SMALL(全オプション!$F:$F,ROW(B121))),"")</f>
        <v/>
      </c>
      <c r="C123" s="9" t="str">
        <f>IFERROR(INDEX(全オプション!C:C,SMALL(全オプション!$F:$F,ROW(C121))),"")</f>
        <v/>
      </c>
      <c r="D123" s="18" t="str">
        <f>IFERROR(INDEX(全オプション!D:D,SMALL(全オプション!$F:$F,ROW(D121))),"")</f>
        <v/>
      </c>
      <c r="E123" s="19" t="str">
        <f>IFERROR(INDEX(全オプション!E:E,SMALL(全オプション!$F:$F,ROW(E121))),"")</f>
        <v/>
      </c>
      <c r="F123" s="2" t="str">
        <f>IFERROR(INDEX(全オプション!F:F,SMALL(全オプション!$F:$F,ROW(F121))),"")</f>
        <v/>
      </c>
      <c r="G123" s="4"/>
      <c r="H123" s="11" t="str">
        <f>IFERROR(INDEX(全オプション!H:H,SMALL(全オプション!$F:$F,ROW(H121))),"")</f>
        <v/>
      </c>
      <c r="I123" s="11" t="str">
        <f>IFERROR(INDEX(全オプション!I:I,SMALL(全オプション!$F:$F,ROW(I121))),"")</f>
        <v/>
      </c>
      <c r="J123" s="22" t="str">
        <f>IFERROR(INDEX(全オプション!J:J,SMALL(全オプション!$F:$F,ROW(J121))),"")</f>
        <v/>
      </c>
    </row>
    <row r="124" spans="1:10" ht="17.850000000000001" customHeight="1">
      <c r="A124" s="21" t="str">
        <f>IFERROR(INDEX(全オプション!A:A,SMALL(全オプション!$F:$F,ROW(A122))),"")</f>
        <v/>
      </c>
      <c r="B124" s="20" t="str">
        <f>IFERROR(INDEX(全オプション!B:B,SMALL(全オプション!$F:$F,ROW(B122))),"")</f>
        <v/>
      </c>
      <c r="C124" s="9" t="str">
        <f>IFERROR(INDEX(全オプション!C:C,SMALL(全オプション!$F:$F,ROW(C122))),"")</f>
        <v/>
      </c>
      <c r="D124" s="18" t="str">
        <f>IFERROR(INDEX(全オプション!D:D,SMALL(全オプション!$F:$F,ROW(D122))),"")</f>
        <v/>
      </c>
      <c r="E124" s="19" t="str">
        <f>IFERROR(INDEX(全オプション!E:E,SMALL(全オプション!$F:$F,ROW(E122))),"")</f>
        <v/>
      </c>
      <c r="F124" s="2" t="str">
        <f>IFERROR(INDEX(全オプション!F:F,SMALL(全オプション!$F:$F,ROW(F122))),"")</f>
        <v/>
      </c>
      <c r="G124" s="4"/>
      <c r="H124" s="11" t="str">
        <f>IFERROR(INDEX(全オプション!H:H,SMALL(全オプション!$F:$F,ROW(H122))),"")</f>
        <v/>
      </c>
      <c r="I124" s="11" t="str">
        <f>IFERROR(INDEX(全オプション!I:I,SMALL(全オプション!$F:$F,ROW(I122))),"")</f>
        <v/>
      </c>
      <c r="J124" s="22" t="str">
        <f>IFERROR(INDEX(全オプション!J:J,SMALL(全オプション!$F:$F,ROW(J122))),"")</f>
        <v/>
      </c>
    </row>
    <row r="125" spans="1:10" ht="17.850000000000001" customHeight="1">
      <c r="A125" s="21" t="str">
        <f>IFERROR(INDEX(全オプション!A:A,SMALL(全オプション!$F:$F,ROW(A123))),"")</f>
        <v/>
      </c>
      <c r="B125" s="20" t="str">
        <f>IFERROR(INDEX(全オプション!B:B,SMALL(全オプション!$F:$F,ROW(B123))),"")</f>
        <v/>
      </c>
      <c r="C125" s="9" t="str">
        <f>IFERROR(INDEX(全オプション!C:C,SMALL(全オプション!$F:$F,ROW(C123))),"")</f>
        <v/>
      </c>
      <c r="D125" s="18" t="str">
        <f>IFERROR(INDEX(全オプション!D:D,SMALL(全オプション!$F:$F,ROW(D123))),"")</f>
        <v/>
      </c>
      <c r="E125" s="19" t="str">
        <f>IFERROR(INDEX(全オプション!E:E,SMALL(全オプション!$F:$F,ROW(E123))),"")</f>
        <v/>
      </c>
      <c r="F125" s="2" t="str">
        <f>IFERROR(INDEX(全オプション!F:F,SMALL(全オプション!$F:$F,ROW(F123))),"")</f>
        <v/>
      </c>
      <c r="G125" s="4"/>
      <c r="H125" s="11" t="str">
        <f>IFERROR(INDEX(全オプション!H:H,SMALL(全オプション!$F:$F,ROW(H123))),"")</f>
        <v/>
      </c>
      <c r="I125" s="11" t="str">
        <f>IFERROR(INDEX(全オプション!I:I,SMALL(全オプション!$F:$F,ROW(I123))),"")</f>
        <v/>
      </c>
      <c r="J125" s="22" t="str">
        <f>IFERROR(INDEX(全オプション!J:J,SMALL(全オプション!$F:$F,ROW(J123))),"")</f>
        <v/>
      </c>
    </row>
    <row r="126" spans="1:10" ht="17.850000000000001" customHeight="1">
      <c r="A126" s="21" t="str">
        <f>IFERROR(INDEX(全オプション!A:A,SMALL(全オプション!$F:$F,ROW(A124))),"")</f>
        <v/>
      </c>
      <c r="B126" s="20" t="str">
        <f>IFERROR(INDEX(全オプション!B:B,SMALL(全オプション!$F:$F,ROW(B124))),"")</f>
        <v/>
      </c>
      <c r="C126" s="9" t="str">
        <f>IFERROR(INDEX(全オプション!C:C,SMALL(全オプション!$F:$F,ROW(C124))),"")</f>
        <v/>
      </c>
      <c r="D126" s="18" t="str">
        <f>IFERROR(INDEX(全オプション!D:D,SMALL(全オプション!$F:$F,ROW(D124))),"")</f>
        <v/>
      </c>
      <c r="E126" s="19" t="str">
        <f>IFERROR(INDEX(全オプション!E:E,SMALL(全オプション!$F:$F,ROW(E124))),"")</f>
        <v/>
      </c>
      <c r="F126" s="2" t="str">
        <f>IFERROR(INDEX(全オプション!F:F,SMALL(全オプション!$F:$F,ROW(F124))),"")</f>
        <v/>
      </c>
      <c r="G126" s="4"/>
      <c r="H126" s="11" t="str">
        <f>IFERROR(INDEX(全オプション!H:H,SMALL(全オプション!$F:$F,ROW(H124))),"")</f>
        <v/>
      </c>
      <c r="I126" s="11" t="str">
        <f>IFERROR(INDEX(全オプション!I:I,SMALL(全オプション!$F:$F,ROW(I124))),"")</f>
        <v/>
      </c>
      <c r="J126" s="22" t="str">
        <f>IFERROR(INDEX(全オプション!J:J,SMALL(全オプション!$F:$F,ROW(J124))),"")</f>
        <v/>
      </c>
    </row>
    <row r="127" spans="1:10" ht="17.850000000000001" customHeight="1">
      <c r="A127" s="21" t="str">
        <f>IFERROR(INDEX(全オプション!A:A,SMALL(全オプション!$F:$F,ROW(A125))),"")</f>
        <v/>
      </c>
      <c r="B127" s="20" t="str">
        <f>IFERROR(INDEX(全オプション!B:B,SMALL(全オプション!$F:$F,ROW(B125))),"")</f>
        <v/>
      </c>
      <c r="C127" s="9" t="str">
        <f>IFERROR(INDEX(全オプション!C:C,SMALL(全オプション!$F:$F,ROW(C125))),"")</f>
        <v/>
      </c>
      <c r="D127" s="18" t="str">
        <f>IFERROR(INDEX(全オプション!D:D,SMALL(全オプション!$F:$F,ROW(D125))),"")</f>
        <v/>
      </c>
      <c r="E127" s="19" t="str">
        <f>IFERROR(INDEX(全オプション!E:E,SMALL(全オプション!$F:$F,ROW(E125))),"")</f>
        <v/>
      </c>
      <c r="F127" s="2" t="str">
        <f>IFERROR(INDEX(全オプション!F:F,SMALL(全オプション!$F:$F,ROW(F125))),"")</f>
        <v/>
      </c>
      <c r="G127" s="4"/>
      <c r="H127" s="11" t="str">
        <f>IFERROR(INDEX(全オプション!H:H,SMALL(全オプション!$F:$F,ROW(H125))),"")</f>
        <v/>
      </c>
      <c r="I127" s="11" t="str">
        <f>IFERROR(INDEX(全オプション!I:I,SMALL(全オプション!$F:$F,ROW(I125))),"")</f>
        <v/>
      </c>
      <c r="J127" s="22" t="str">
        <f>IFERROR(INDEX(全オプション!J:J,SMALL(全オプション!$F:$F,ROW(J125))),"")</f>
        <v/>
      </c>
    </row>
    <row r="128" spans="1:10" ht="17.850000000000001" customHeight="1">
      <c r="A128" s="21" t="str">
        <f>IFERROR(INDEX(全オプション!A:A,SMALL(全オプション!$F:$F,ROW(A126))),"")</f>
        <v/>
      </c>
      <c r="B128" s="20" t="str">
        <f>IFERROR(INDEX(全オプション!B:B,SMALL(全オプション!$F:$F,ROW(B126))),"")</f>
        <v/>
      </c>
      <c r="C128" s="9" t="str">
        <f>IFERROR(INDEX(全オプション!C:C,SMALL(全オプション!$F:$F,ROW(C126))),"")</f>
        <v/>
      </c>
      <c r="D128" s="18" t="str">
        <f>IFERROR(INDEX(全オプション!D:D,SMALL(全オプション!$F:$F,ROW(D126))),"")</f>
        <v/>
      </c>
      <c r="E128" s="19" t="str">
        <f>IFERROR(INDEX(全オプション!E:E,SMALL(全オプション!$F:$F,ROW(E126))),"")</f>
        <v/>
      </c>
      <c r="F128" s="2" t="str">
        <f>IFERROR(INDEX(全オプション!F:F,SMALL(全オプション!$F:$F,ROW(F126))),"")</f>
        <v/>
      </c>
      <c r="G128" s="4"/>
      <c r="H128" s="11" t="str">
        <f>IFERROR(INDEX(全オプション!H:H,SMALL(全オプション!$F:$F,ROW(H126))),"")</f>
        <v/>
      </c>
      <c r="I128" s="11" t="str">
        <f>IFERROR(INDEX(全オプション!I:I,SMALL(全オプション!$F:$F,ROW(I126))),"")</f>
        <v/>
      </c>
      <c r="J128" s="22" t="str">
        <f>IFERROR(INDEX(全オプション!J:J,SMALL(全オプション!$F:$F,ROW(J126))),"")</f>
        <v/>
      </c>
    </row>
    <row r="129" spans="1:10" ht="17.850000000000001" customHeight="1">
      <c r="A129" s="21" t="str">
        <f>IFERROR(INDEX(全オプション!A:A,SMALL(全オプション!$F:$F,ROW(A127))),"")</f>
        <v/>
      </c>
      <c r="B129" s="20" t="str">
        <f>IFERROR(INDEX(全オプション!B:B,SMALL(全オプション!$F:$F,ROW(B127))),"")</f>
        <v/>
      </c>
      <c r="C129" s="9" t="str">
        <f>IFERROR(INDEX(全オプション!C:C,SMALL(全オプション!$F:$F,ROW(C127))),"")</f>
        <v/>
      </c>
      <c r="D129" s="18" t="str">
        <f>IFERROR(INDEX(全オプション!D:D,SMALL(全オプション!$F:$F,ROW(D127))),"")</f>
        <v/>
      </c>
      <c r="E129" s="19" t="str">
        <f>IFERROR(INDEX(全オプション!E:E,SMALL(全オプション!$F:$F,ROW(E127))),"")</f>
        <v/>
      </c>
      <c r="F129" s="2" t="str">
        <f>IFERROR(INDEX(全オプション!F:F,SMALL(全オプション!$F:$F,ROW(F127))),"")</f>
        <v/>
      </c>
      <c r="G129" s="4"/>
      <c r="H129" s="11" t="str">
        <f>IFERROR(INDEX(全オプション!H:H,SMALL(全オプション!$F:$F,ROW(H127))),"")</f>
        <v/>
      </c>
      <c r="I129" s="11" t="str">
        <f>IFERROR(INDEX(全オプション!I:I,SMALL(全オプション!$F:$F,ROW(I127))),"")</f>
        <v/>
      </c>
      <c r="J129" s="22" t="str">
        <f>IFERROR(INDEX(全オプション!J:J,SMALL(全オプション!$F:$F,ROW(J127))),"")</f>
        <v/>
      </c>
    </row>
    <row r="130" spans="1:10" ht="17.850000000000001" customHeight="1">
      <c r="A130" s="21" t="str">
        <f>IFERROR(INDEX(全オプション!A:A,SMALL(全オプション!$F:$F,ROW(A128))),"")</f>
        <v/>
      </c>
      <c r="B130" s="20" t="str">
        <f>IFERROR(INDEX(全オプション!B:B,SMALL(全オプション!$F:$F,ROW(B128))),"")</f>
        <v/>
      </c>
      <c r="C130" s="9" t="str">
        <f>IFERROR(INDEX(全オプション!C:C,SMALL(全オプション!$F:$F,ROW(C128))),"")</f>
        <v/>
      </c>
      <c r="D130" s="18" t="str">
        <f>IFERROR(INDEX(全オプション!D:D,SMALL(全オプション!$F:$F,ROW(D128))),"")</f>
        <v/>
      </c>
      <c r="E130" s="19" t="str">
        <f>IFERROR(INDEX(全オプション!E:E,SMALL(全オプション!$F:$F,ROW(E128))),"")</f>
        <v/>
      </c>
      <c r="F130" s="2" t="str">
        <f>IFERROR(INDEX(全オプション!F:F,SMALL(全オプション!$F:$F,ROW(F128))),"")</f>
        <v/>
      </c>
      <c r="G130" s="4"/>
      <c r="H130" s="11" t="str">
        <f>IFERROR(INDEX(全オプション!H:H,SMALL(全オプション!$F:$F,ROW(H128))),"")</f>
        <v/>
      </c>
      <c r="I130" s="11" t="str">
        <f>IFERROR(INDEX(全オプション!I:I,SMALL(全オプション!$F:$F,ROW(I128))),"")</f>
        <v/>
      </c>
      <c r="J130" s="22" t="str">
        <f>IFERROR(INDEX(全オプション!J:J,SMALL(全オプション!$F:$F,ROW(J128))),"")</f>
        <v/>
      </c>
    </row>
    <row r="131" spans="1:10" ht="17.850000000000001" customHeight="1">
      <c r="A131" s="21" t="str">
        <f>IFERROR(INDEX(全オプション!A:A,SMALL(全オプション!$F:$F,ROW(A129))),"")</f>
        <v/>
      </c>
      <c r="B131" s="20" t="str">
        <f>IFERROR(INDEX(全オプション!B:B,SMALL(全オプション!$F:$F,ROW(B129))),"")</f>
        <v/>
      </c>
      <c r="C131" s="9" t="str">
        <f>IFERROR(INDEX(全オプション!C:C,SMALL(全オプション!$F:$F,ROW(C129))),"")</f>
        <v/>
      </c>
      <c r="D131" s="18" t="str">
        <f>IFERROR(INDEX(全オプション!D:D,SMALL(全オプション!$F:$F,ROW(D129))),"")</f>
        <v/>
      </c>
      <c r="E131" s="19" t="str">
        <f>IFERROR(INDEX(全オプション!E:E,SMALL(全オプション!$F:$F,ROW(E129))),"")</f>
        <v/>
      </c>
      <c r="F131" s="2" t="str">
        <f>IFERROR(INDEX(全オプション!F:F,SMALL(全オプション!$F:$F,ROW(F129))),"")</f>
        <v/>
      </c>
      <c r="G131" s="4"/>
      <c r="H131" s="11" t="str">
        <f>IFERROR(INDEX(全オプション!H:H,SMALL(全オプション!$F:$F,ROW(H129))),"")</f>
        <v/>
      </c>
      <c r="I131" s="11" t="str">
        <f>IFERROR(INDEX(全オプション!I:I,SMALL(全オプション!$F:$F,ROW(I129))),"")</f>
        <v/>
      </c>
      <c r="J131" s="22" t="str">
        <f>IFERROR(INDEX(全オプション!J:J,SMALL(全オプション!$F:$F,ROW(J129))),"")</f>
        <v/>
      </c>
    </row>
    <row r="132" spans="1:10" ht="17.850000000000001" customHeight="1">
      <c r="A132" s="21" t="str">
        <f>IFERROR(INDEX(全オプション!A:A,SMALL(全オプション!$F:$F,ROW(A130))),"")</f>
        <v/>
      </c>
      <c r="B132" s="20" t="str">
        <f>IFERROR(INDEX(全オプション!B:B,SMALL(全オプション!$F:$F,ROW(B130))),"")</f>
        <v/>
      </c>
      <c r="C132" s="9" t="str">
        <f>IFERROR(INDEX(全オプション!C:C,SMALL(全オプション!$F:$F,ROW(C130))),"")</f>
        <v/>
      </c>
      <c r="D132" s="18" t="str">
        <f>IFERROR(INDEX(全オプション!D:D,SMALL(全オプション!$F:$F,ROW(D130))),"")</f>
        <v/>
      </c>
      <c r="E132" s="19" t="str">
        <f>IFERROR(INDEX(全オプション!E:E,SMALL(全オプション!$F:$F,ROW(E130))),"")</f>
        <v/>
      </c>
      <c r="F132" s="2" t="str">
        <f>IFERROR(INDEX(全オプション!F:F,SMALL(全オプション!$F:$F,ROW(F130))),"")</f>
        <v/>
      </c>
      <c r="G132" s="4"/>
      <c r="H132" s="11" t="str">
        <f>IFERROR(INDEX(全オプション!H:H,SMALL(全オプション!$F:$F,ROW(H130))),"")</f>
        <v/>
      </c>
      <c r="I132" s="11" t="str">
        <f>IFERROR(INDEX(全オプション!I:I,SMALL(全オプション!$F:$F,ROW(I130))),"")</f>
        <v/>
      </c>
      <c r="J132" s="22" t="str">
        <f>IFERROR(INDEX(全オプション!J:J,SMALL(全オプション!$F:$F,ROW(J130))),"")</f>
        <v/>
      </c>
    </row>
    <row r="133" spans="1:10" ht="17.850000000000001" customHeight="1">
      <c r="A133" s="21" t="str">
        <f>IFERROR(INDEX(全オプション!A:A,SMALL(全オプション!$F:$F,ROW(A131))),"")</f>
        <v/>
      </c>
      <c r="B133" s="20" t="str">
        <f>IFERROR(INDEX(全オプション!B:B,SMALL(全オプション!$F:$F,ROW(B131))),"")</f>
        <v/>
      </c>
      <c r="C133" s="9" t="str">
        <f>IFERROR(INDEX(全オプション!C:C,SMALL(全オプション!$F:$F,ROW(C131))),"")</f>
        <v/>
      </c>
      <c r="D133" s="18" t="str">
        <f>IFERROR(INDEX(全オプション!D:D,SMALL(全オプション!$F:$F,ROW(D131))),"")</f>
        <v/>
      </c>
      <c r="E133" s="19" t="str">
        <f>IFERROR(INDEX(全オプション!E:E,SMALL(全オプション!$F:$F,ROW(E131))),"")</f>
        <v/>
      </c>
      <c r="F133" s="2" t="str">
        <f>IFERROR(INDEX(全オプション!F:F,SMALL(全オプション!$F:$F,ROW(F131))),"")</f>
        <v/>
      </c>
      <c r="G133" s="4"/>
      <c r="H133" s="11" t="str">
        <f>IFERROR(INDEX(全オプション!H:H,SMALL(全オプション!$F:$F,ROW(H131))),"")</f>
        <v/>
      </c>
      <c r="I133" s="11" t="str">
        <f>IFERROR(INDEX(全オプション!I:I,SMALL(全オプション!$F:$F,ROW(I131))),"")</f>
        <v/>
      </c>
      <c r="J133" s="22" t="str">
        <f>IFERROR(INDEX(全オプション!J:J,SMALL(全オプション!$F:$F,ROW(J131))),"")</f>
        <v/>
      </c>
    </row>
    <row r="134" spans="1:10" ht="17.850000000000001" customHeight="1">
      <c r="A134" s="21" t="str">
        <f>IFERROR(INDEX(全オプション!A:A,SMALL(全オプション!$F:$F,ROW(A132))),"")</f>
        <v/>
      </c>
      <c r="B134" s="20" t="str">
        <f>IFERROR(INDEX(全オプション!B:B,SMALL(全オプション!$F:$F,ROW(B132))),"")</f>
        <v/>
      </c>
      <c r="C134" s="9" t="str">
        <f>IFERROR(INDEX(全オプション!C:C,SMALL(全オプション!$F:$F,ROW(C132))),"")</f>
        <v/>
      </c>
      <c r="D134" s="18" t="str">
        <f>IFERROR(INDEX(全オプション!D:D,SMALL(全オプション!$F:$F,ROW(D132))),"")</f>
        <v/>
      </c>
      <c r="E134" s="19" t="str">
        <f>IFERROR(INDEX(全オプション!E:E,SMALL(全オプション!$F:$F,ROW(E132))),"")</f>
        <v/>
      </c>
      <c r="F134" s="2" t="str">
        <f>IFERROR(INDEX(全オプション!F:F,SMALL(全オプション!$F:$F,ROW(F132))),"")</f>
        <v/>
      </c>
      <c r="G134" s="4"/>
      <c r="H134" s="11" t="str">
        <f>IFERROR(INDEX(全オプション!H:H,SMALL(全オプション!$F:$F,ROW(H132))),"")</f>
        <v/>
      </c>
      <c r="I134" s="11" t="str">
        <f>IFERROR(INDEX(全オプション!I:I,SMALL(全オプション!$F:$F,ROW(I132))),"")</f>
        <v/>
      </c>
      <c r="J134" s="22" t="str">
        <f>IFERROR(INDEX(全オプション!J:J,SMALL(全オプション!$F:$F,ROW(J132))),"")</f>
        <v/>
      </c>
    </row>
    <row r="135" spans="1:10" ht="17.850000000000001" customHeight="1">
      <c r="A135" s="21" t="str">
        <f>IFERROR(INDEX(全オプション!A:A,SMALL(全オプション!$F:$F,ROW(A133))),"")</f>
        <v/>
      </c>
      <c r="B135" s="20" t="str">
        <f>IFERROR(INDEX(全オプション!B:B,SMALL(全オプション!$F:$F,ROW(B133))),"")</f>
        <v/>
      </c>
      <c r="C135" s="9" t="str">
        <f>IFERROR(INDEX(全オプション!C:C,SMALL(全オプション!$F:$F,ROW(C133))),"")</f>
        <v/>
      </c>
      <c r="D135" s="18" t="str">
        <f>IFERROR(INDEX(全オプション!D:D,SMALL(全オプション!$F:$F,ROW(D133))),"")</f>
        <v/>
      </c>
      <c r="E135" s="19" t="str">
        <f>IFERROR(INDEX(全オプション!E:E,SMALL(全オプション!$F:$F,ROW(E133))),"")</f>
        <v/>
      </c>
      <c r="F135" s="2" t="str">
        <f>IFERROR(INDEX(全オプション!F:F,SMALL(全オプション!$F:$F,ROW(F133))),"")</f>
        <v/>
      </c>
      <c r="G135" s="4"/>
      <c r="H135" s="11" t="str">
        <f>IFERROR(INDEX(全オプション!H:H,SMALL(全オプション!$F:$F,ROW(H133))),"")</f>
        <v/>
      </c>
      <c r="I135" s="11" t="str">
        <f>IFERROR(INDEX(全オプション!I:I,SMALL(全オプション!$F:$F,ROW(I133))),"")</f>
        <v/>
      </c>
      <c r="J135" s="22" t="str">
        <f>IFERROR(INDEX(全オプション!J:J,SMALL(全オプション!$F:$F,ROW(J133))),"")</f>
        <v/>
      </c>
    </row>
    <row r="136" spans="1:10" ht="17.850000000000001" customHeight="1">
      <c r="A136" s="21" t="str">
        <f>IFERROR(INDEX(全オプション!A:A,SMALL(全オプション!$F:$F,ROW(A134))),"")</f>
        <v/>
      </c>
      <c r="B136" s="20" t="str">
        <f>IFERROR(INDEX(全オプション!B:B,SMALL(全オプション!$F:$F,ROW(B134))),"")</f>
        <v/>
      </c>
      <c r="C136" s="9" t="str">
        <f>IFERROR(INDEX(全オプション!C:C,SMALL(全オプション!$F:$F,ROW(C134))),"")</f>
        <v/>
      </c>
      <c r="D136" s="18" t="str">
        <f>IFERROR(INDEX(全オプション!D:D,SMALL(全オプション!$F:$F,ROW(D134))),"")</f>
        <v/>
      </c>
      <c r="E136" s="19" t="str">
        <f>IFERROR(INDEX(全オプション!E:E,SMALL(全オプション!$F:$F,ROW(E134))),"")</f>
        <v/>
      </c>
      <c r="F136" s="2" t="str">
        <f>IFERROR(INDEX(全オプション!F:F,SMALL(全オプション!$F:$F,ROW(F134))),"")</f>
        <v/>
      </c>
      <c r="G136" s="4"/>
      <c r="H136" s="11" t="str">
        <f>IFERROR(INDEX(全オプション!H:H,SMALL(全オプション!$F:$F,ROW(H134))),"")</f>
        <v/>
      </c>
      <c r="I136" s="11" t="str">
        <f>IFERROR(INDEX(全オプション!I:I,SMALL(全オプション!$F:$F,ROW(I134))),"")</f>
        <v/>
      </c>
      <c r="J136" s="22" t="str">
        <f>IFERROR(INDEX(全オプション!J:J,SMALL(全オプション!$F:$F,ROW(J134))),"")</f>
        <v/>
      </c>
    </row>
    <row r="137" spans="1:10" ht="17.850000000000001" customHeight="1">
      <c r="A137" s="21" t="str">
        <f>IFERROR(INDEX(全オプション!A:A,SMALL(全オプション!$F:$F,ROW(A135))),"")</f>
        <v/>
      </c>
      <c r="B137" s="20" t="str">
        <f>IFERROR(INDEX(全オプション!B:B,SMALL(全オプション!$F:$F,ROW(B135))),"")</f>
        <v/>
      </c>
      <c r="C137" s="9" t="str">
        <f>IFERROR(INDEX(全オプション!C:C,SMALL(全オプション!$F:$F,ROW(C135))),"")</f>
        <v/>
      </c>
      <c r="D137" s="18" t="str">
        <f>IFERROR(INDEX(全オプション!D:D,SMALL(全オプション!$F:$F,ROW(D135))),"")</f>
        <v/>
      </c>
      <c r="E137" s="19" t="str">
        <f>IFERROR(INDEX(全オプション!E:E,SMALL(全オプション!$F:$F,ROW(E135))),"")</f>
        <v/>
      </c>
      <c r="F137" s="2" t="str">
        <f>IFERROR(INDEX(全オプション!F:F,SMALL(全オプション!$F:$F,ROW(F135))),"")</f>
        <v/>
      </c>
      <c r="G137" s="4"/>
      <c r="H137" s="11" t="str">
        <f>IFERROR(INDEX(全オプション!H:H,SMALL(全オプション!$F:$F,ROW(H135))),"")</f>
        <v/>
      </c>
      <c r="I137" s="11" t="str">
        <f>IFERROR(INDEX(全オプション!I:I,SMALL(全オプション!$F:$F,ROW(I135))),"")</f>
        <v/>
      </c>
      <c r="J137" s="22" t="str">
        <f>IFERROR(INDEX(全オプション!J:J,SMALL(全オプション!$F:$F,ROW(J135))),"")</f>
        <v/>
      </c>
    </row>
    <row r="138" spans="1:10" ht="17.850000000000001" customHeight="1">
      <c r="A138" s="21" t="str">
        <f>IFERROR(INDEX(全オプション!A:A,SMALL(全オプション!$F:$F,ROW(A136))),"")</f>
        <v/>
      </c>
      <c r="B138" s="20" t="str">
        <f>IFERROR(INDEX(全オプション!B:B,SMALL(全オプション!$F:$F,ROW(B136))),"")</f>
        <v/>
      </c>
      <c r="C138" s="9" t="str">
        <f>IFERROR(INDEX(全オプション!C:C,SMALL(全オプション!$F:$F,ROW(C136))),"")</f>
        <v/>
      </c>
      <c r="D138" s="18" t="str">
        <f>IFERROR(INDEX(全オプション!D:D,SMALL(全オプション!$F:$F,ROW(D136))),"")</f>
        <v/>
      </c>
      <c r="E138" s="19" t="str">
        <f>IFERROR(INDEX(全オプション!E:E,SMALL(全オプション!$F:$F,ROW(E136))),"")</f>
        <v/>
      </c>
      <c r="F138" s="2" t="str">
        <f>IFERROR(INDEX(全オプション!F:F,SMALL(全オプション!$F:$F,ROW(F136))),"")</f>
        <v/>
      </c>
      <c r="G138" s="4"/>
      <c r="H138" s="11" t="str">
        <f>IFERROR(INDEX(全オプション!H:H,SMALL(全オプション!$F:$F,ROW(H136))),"")</f>
        <v/>
      </c>
      <c r="I138" s="11" t="str">
        <f>IFERROR(INDEX(全オプション!I:I,SMALL(全オプション!$F:$F,ROW(I136))),"")</f>
        <v/>
      </c>
      <c r="J138" s="22" t="str">
        <f>IFERROR(INDEX(全オプション!J:J,SMALL(全オプション!$F:$F,ROW(J136))),"")</f>
        <v/>
      </c>
    </row>
    <row r="139" spans="1:10" ht="17.850000000000001" customHeight="1">
      <c r="A139" s="21" t="str">
        <f>IFERROR(INDEX(全オプション!A:A,SMALL(全オプション!$F:$F,ROW(A137))),"")</f>
        <v/>
      </c>
      <c r="B139" s="20" t="str">
        <f>IFERROR(INDEX(全オプション!B:B,SMALL(全オプション!$F:$F,ROW(B137))),"")</f>
        <v/>
      </c>
      <c r="C139" s="9" t="str">
        <f>IFERROR(INDEX(全オプション!C:C,SMALL(全オプション!$F:$F,ROW(C137))),"")</f>
        <v/>
      </c>
      <c r="D139" s="18" t="str">
        <f>IFERROR(INDEX(全オプション!D:D,SMALL(全オプション!$F:$F,ROW(D137))),"")</f>
        <v/>
      </c>
      <c r="E139" s="19" t="str">
        <f>IFERROR(INDEX(全オプション!E:E,SMALL(全オプション!$F:$F,ROW(E137))),"")</f>
        <v/>
      </c>
      <c r="F139" s="2" t="str">
        <f>IFERROR(INDEX(全オプション!F:F,SMALL(全オプション!$F:$F,ROW(F137))),"")</f>
        <v/>
      </c>
      <c r="G139" s="4"/>
      <c r="H139" s="11" t="str">
        <f>IFERROR(INDEX(全オプション!H:H,SMALL(全オプション!$F:$F,ROW(H137))),"")</f>
        <v/>
      </c>
      <c r="I139" s="11" t="str">
        <f>IFERROR(INDEX(全オプション!I:I,SMALL(全オプション!$F:$F,ROW(I137))),"")</f>
        <v/>
      </c>
      <c r="J139" s="22" t="str">
        <f>IFERROR(INDEX(全オプション!J:J,SMALL(全オプション!$F:$F,ROW(J137))),"")</f>
        <v/>
      </c>
    </row>
    <row r="140" spans="1:10" ht="17.850000000000001" customHeight="1">
      <c r="A140" s="21" t="str">
        <f>IFERROR(INDEX(全オプション!A:A,SMALL(全オプション!$F:$F,ROW(A138))),"")</f>
        <v/>
      </c>
      <c r="B140" s="20" t="str">
        <f>IFERROR(INDEX(全オプション!B:B,SMALL(全オプション!$F:$F,ROW(B138))),"")</f>
        <v/>
      </c>
      <c r="C140" s="9" t="str">
        <f>IFERROR(INDEX(全オプション!C:C,SMALL(全オプション!$F:$F,ROW(C138))),"")</f>
        <v/>
      </c>
      <c r="D140" s="18" t="str">
        <f>IFERROR(INDEX(全オプション!D:D,SMALL(全オプション!$F:$F,ROW(D138))),"")</f>
        <v/>
      </c>
      <c r="E140" s="19" t="str">
        <f>IFERROR(INDEX(全オプション!E:E,SMALL(全オプション!$F:$F,ROW(E138))),"")</f>
        <v/>
      </c>
      <c r="F140" s="2" t="str">
        <f>IFERROR(INDEX(全オプション!F:F,SMALL(全オプション!$F:$F,ROW(F138))),"")</f>
        <v/>
      </c>
      <c r="G140" s="4"/>
      <c r="H140" s="11" t="str">
        <f>IFERROR(INDEX(全オプション!H:H,SMALL(全オプション!$F:$F,ROW(H138))),"")</f>
        <v/>
      </c>
      <c r="I140" s="11" t="str">
        <f>IFERROR(INDEX(全オプション!I:I,SMALL(全オプション!$F:$F,ROW(I138))),"")</f>
        <v/>
      </c>
      <c r="J140" s="22" t="str">
        <f>IFERROR(INDEX(全オプション!J:J,SMALL(全オプション!$F:$F,ROW(J138))),"")</f>
        <v/>
      </c>
    </row>
    <row r="141" spans="1:10" ht="17.850000000000001" customHeight="1">
      <c r="A141" s="21" t="str">
        <f>IFERROR(INDEX(全オプション!A:A,SMALL(全オプション!$F:$F,ROW(A139))),"")</f>
        <v/>
      </c>
      <c r="B141" s="20" t="str">
        <f>IFERROR(INDEX(全オプション!B:B,SMALL(全オプション!$F:$F,ROW(B139))),"")</f>
        <v/>
      </c>
      <c r="C141" s="9" t="str">
        <f>IFERROR(INDEX(全オプション!C:C,SMALL(全オプション!$F:$F,ROW(C139))),"")</f>
        <v/>
      </c>
      <c r="D141" s="18" t="str">
        <f>IFERROR(INDEX(全オプション!D:D,SMALL(全オプション!$F:$F,ROW(D139))),"")</f>
        <v/>
      </c>
      <c r="E141" s="19" t="str">
        <f>IFERROR(INDEX(全オプション!E:E,SMALL(全オプション!$F:$F,ROW(E139))),"")</f>
        <v/>
      </c>
      <c r="F141" s="2" t="str">
        <f>IFERROR(INDEX(全オプション!F:F,SMALL(全オプション!$F:$F,ROW(F139))),"")</f>
        <v/>
      </c>
      <c r="G141" s="4"/>
      <c r="H141" s="11" t="str">
        <f>IFERROR(INDEX(全オプション!H:H,SMALL(全オプション!$F:$F,ROW(H139))),"")</f>
        <v/>
      </c>
      <c r="I141" s="11" t="str">
        <f>IFERROR(INDEX(全オプション!I:I,SMALL(全オプション!$F:$F,ROW(I139))),"")</f>
        <v/>
      </c>
      <c r="J141" s="22" t="str">
        <f>IFERROR(INDEX(全オプション!J:J,SMALL(全オプション!$F:$F,ROW(J139))),"")</f>
        <v/>
      </c>
    </row>
    <row r="142" spans="1:10" ht="17.850000000000001" customHeight="1">
      <c r="A142" s="21" t="str">
        <f>IFERROR(INDEX(全オプション!A:A,SMALL(全オプション!$F:$F,ROW(A140))),"")</f>
        <v/>
      </c>
      <c r="B142" s="20" t="str">
        <f>IFERROR(INDEX(全オプション!B:B,SMALL(全オプション!$F:$F,ROW(B140))),"")</f>
        <v/>
      </c>
      <c r="C142" s="9" t="str">
        <f>IFERROR(INDEX(全オプション!C:C,SMALL(全オプション!$F:$F,ROW(C140))),"")</f>
        <v/>
      </c>
      <c r="D142" s="18" t="str">
        <f>IFERROR(INDEX(全オプション!D:D,SMALL(全オプション!$F:$F,ROW(D140))),"")</f>
        <v/>
      </c>
      <c r="E142" s="19" t="str">
        <f>IFERROR(INDEX(全オプション!E:E,SMALL(全オプション!$F:$F,ROW(E140))),"")</f>
        <v/>
      </c>
      <c r="F142" s="2" t="str">
        <f>IFERROR(INDEX(全オプション!F:F,SMALL(全オプション!$F:$F,ROW(F140))),"")</f>
        <v/>
      </c>
      <c r="G142" s="4"/>
      <c r="H142" s="11" t="str">
        <f>IFERROR(INDEX(全オプション!H:H,SMALL(全オプション!$F:$F,ROW(H140))),"")</f>
        <v/>
      </c>
      <c r="I142" s="11" t="str">
        <f>IFERROR(INDEX(全オプション!I:I,SMALL(全オプション!$F:$F,ROW(I140))),"")</f>
        <v/>
      </c>
      <c r="J142" s="22" t="str">
        <f>IFERROR(INDEX(全オプション!J:J,SMALL(全オプション!$F:$F,ROW(J140))),"")</f>
        <v/>
      </c>
    </row>
    <row r="143" spans="1:10" ht="17.850000000000001" customHeight="1">
      <c r="A143" s="21" t="str">
        <f>IFERROR(INDEX(全オプション!A:A,SMALL(全オプション!$F:$F,ROW(A141))),"")</f>
        <v/>
      </c>
      <c r="B143" s="20" t="str">
        <f>IFERROR(INDEX(全オプション!B:B,SMALL(全オプション!$F:$F,ROW(B141))),"")</f>
        <v/>
      </c>
      <c r="C143" s="9" t="str">
        <f>IFERROR(INDEX(全オプション!C:C,SMALL(全オプション!$F:$F,ROW(C141))),"")</f>
        <v/>
      </c>
      <c r="D143" s="18" t="str">
        <f>IFERROR(INDEX(全オプション!D:D,SMALL(全オプション!$F:$F,ROW(D141))),"")</f>
        <v/>
      </c>
      <c r="E143" s="19" t="str">
        <f>IFERROR(INDEX(全オプション!E:E,SMALL(全オプション!$F:$F,ROW(E141))),"")</f>
        <v/>
      </c>
      <c r="F143" s="2" t="str">
        <f>IFERROR(INDEX(全オプション!F:F,SMALL(全オプション!$F:$F,ROW(F141))),"")</f>
        <v/>
      </c>
      <c r="G143" s="4"/>
      <c r="H143" s="11" t="str">
        <f>IFERROR(INDEX(全オプション!H:H,SMALL(全オプション!$F:$F,ROW(H141))),"")</f>
        <v/>
      </c>
      <c r="I143" s="11" t="str">
        <f>IFERROR(INDEX(全オプション!I:I,SMALL(全オプション!$F:$F,ROW(I141))),"")</f>
        <v/>
      </c>
      <c r="J143" s="22" t="str">
        <f>IFERROR(INDEX(全オプション!J:J,SMALL(全オプション!$F:$F,ROW(J141))),"")</f>
        <v/>
      </c>
    </row>
    <row r="144" spans="1:10" ht="17.850000000000001" customHeight="1">
      <c r="A144" s="21" t="str">
        <f>IFERROR(INDEX(全オプション!A:A,SMALL(全オプション!$F:$F,ROW(A142))),"")</f>
        <v/>
      </c>
      <c r="B144" s="20" t="str">
        <f>IFERROR(INDEX(全オプション!B:B,SMALL(全オプション!$F:$F,ROW(B142))),"")</f>
        <v/>
      </c>
      <c r="C144" s="9" t="str">
        <f>IFERROR(INDEX(全オプション!C:C,SMALL(全オプション!$F:$F,ROW(C142))),"")</f>
        <v/>
      </c>
      <c r="D144" s="18" t="str">
        <f>IFERROR(INDEX(全オプション!D:D,SMALL(全オプション!$F:$F,ROW(D142))),"")</f>
        <v/>
      </c>
      <c r="E144" s="19" t="str">
        <f>IFERROR(INDEX(全オプション!E:E,SMALL(全オプション!$F:$F,ROW(E142))),"")</f>
        <v/>
      </c>
      <c r="F144" s="2" t="str">
        <f>IFERROR(INDEX(全オプション!F:F,SMALL(全オプション!$F:$F,ROW(F142))),"")</f>
        <v/>
      </c>
      <c r="G144" s="4"/>
      <c r="H144" s="11" t="str">
        <f>IFERROR(INDEX(全オプション!H:H,SMALL(全オプション!$F:$F,ROW(H142))),"")</f>
        <v/>
      </c>
      <c r="I144" s="11" t="str">
        <f>IFERROR(INDEX(全オプション!I:I,SMALL(全オプション!$F:$F,ROW(I142))),"")</f>
        <v/>
      </c>
      <c r="J144" s="22" t="str">
        <f>IFERROR(INDEX(全オプション!J:J,SMALL(全オプション!$F:$F,ROW(J142))),"")</f>
        <v/>
      </c>
    </row>
    <row r="145" spans="1:10" ht="17.850000000000001" customHeight="1">
      <c r="A145" s="21" t="str">
        <f>IFERROR(INDEX(全オプション!A:A,SMALL(全オプション!$F:$F,ROW(A143))),"")</f>
        <v/>
      </c>
      <c r="B145" s="20" t="str">
        <f>IFERROR(INDEX(全オプション!B:B,SMALL(全オプション!$F:$F,ROW(B143))),"")</f>
        <v/>
      </c>
      <c r="C145" s="9" t="str">
        <f>IFERROR(INDEX(全オプション!C:C,SMALL(全オプション!$F:$F,ROW(C143))),"")</f>
        <v/>
      </c>
      <c r="D145" s="18" t="str">
        <f>IFERROR(INDEX(全オプション!D:D,SMALL(全オプション!$F:$F,ROW(D143))),"")</f>
        <v/>
      </c>
      <c r="E145" s="19" t="str">
        <f>IFERROR(INDEX(全オプション!E:E,SMALL(全オプション!$F:$F,ROW(E143))),"")</f>
        <v/>
      </c>
      <c r="F145" s="2" t="str">
        <f>IFERROR(INDEX(全オプション!F:F,SMALL(全オプション!$F:$F,ROW(F143))),"")</f>
        <v/>
      </c>
      <c r="G145" s="4"/>
      <c r="H145" s="11" t="str">
        <f>IFERROR(INDEX(全オプション!H:H,SMALL(全オプション!$F:$F,ROW(H143))),"")</f>
        <v/>
      </c>
      <c r="I145" s="11" t="str">
        <f>IFERROR(INDEX(全オプション!I:I,SMALL(全オプション!$F:$F,ROW(I143))),"")</f>
        <v/>
      </c>
      <c r="J145" s="22" t="str">
        <f>IFERROR(INDEX(全オプション!J:J,SMALL(全オプション!$F:$F,ROW(J143))),"")</f>
        <v/>
      </c>
    </row>
    <row r="146" spans="1:10" ht="17.850000000000001" customHeight="1">
      <c r="A146" s="21" t="str">
        <f>IFERROR(INDEX(全オプション!A:A,SMALL(全オプション!$F:$F,ROW(A144))),"")</f>
        <v/>
      </c>
      <c r="B146" s="20" t="str">
        <f>IFERROR(INDEX(全オプション!B:B,SMALL(全オプション!$F:$F,ROW(B144))),"")</f>
        <v/>
      </c>
      <c r="C146" s="9" t="str">
        <f>IFERROR(INDEX(全オプション!C:C,SMALL(全オプション!$F:$F,ROW(C144))),"")</f>
        <v/>
      </c>
      <c r="D146" s="18" t="str">
        <f>IFERROR(INDEX(全オプション!D:D,SMALL(全オプション!$F:$F,ROW(D144))),"")</f>
        <v/>
      </c>
      <c r="E146" s="19" t="str">
        <f>IFERROR(INDEX(全オプション!E:E,SMALL(全オプション!$F:$F,ROW(E144))),"")</f>
        <v/>
      </c>
      <c r="F146" s="2" t="str">
        <f>IFERROR(INDEX(全オプション!F:F,SMALL(全オプション!$F:$F,ROW(F144))),"")</f>
        <v/>
      </c>
      <c r="G146" s="4"/>
      <c r="H146" s="11" t="str">
        <f>IFERROR(INDEX(全オプション!H:H,SMALL(全オプション!$F:$F,ROW(H144))),"")</f>
        <v/>
      </c>
      <c r="I146" s="11" t="str">
        <f>IFERROR(INDEX(全オプション!I:I,SMALL(全オプション!$F:$F,ROW(I144))),"")</f>
        <v/>
      </c>
      <c r="J146" s="22" t="str">
        <f>IFERROR(INDEX(全オプション!J:J,SMALL(全オプション!$F:$F,ROW(J144))),"")</f>
        <v/>
      </c>
    </row>
    <row r="147" spans="1:10" ht="17.850000000000001" customHeight="1">
      <c r="A147" s="21" t="str">
        <f>IFERROR(INDEX(全オプション!A:A,SMALL(全オプション!$F:$F,ROW(A145))),"")</f>
        <v/>
      </c>
      <c r="B147" s="20" t="str">
        <f>IFERROR(INDEX(全オプション!B:B,SMALL(全オプション!$F:$F,ROW(B145))),"")</f>
        <v/>
      </c>
      <c r="C147" s="9" t="str">
        <f>IFERROR(INDEX(全オプション!C:C,SMALL(全オプション!$F:$F,ROW(C145))),"")</f>
        <v/>
      </c>
      <c r="D147" s="18" t="str">
        <f>IFERROR(INDEX(全オプション!D:D,SMALL(全オプション!$F:$F,ROW(D145))),"")</f>
        <v/>
      </c>
      <c r="E147" s="19" t="str">
        <f>IFERROR(INDEX(全オプション!E:E,SMALL(全オプション!$F:$F,ROW(E145))),"")</f>
        <v/>
      </c>
      <c r="F147" s="2" t="str">
        <f>IFERROR(INDEX(全オプション!F:F,SMALL(全オプション!$F:$F,ROW(F145))),"")</f>
        <v/>
      </c>
      <c r="G147" s="4"/>
      <c r="H147" s="11" t="str">
        <f>IFERROR(INDEX(全オプション!H:H,SMALL(全オプション!$F:$F,ROW(H145))),"")</f>
        <v/>
      </c>
      <c r="I147" s="11" t="str">
        <f>IFERROR(INDEX(全オプション!I:I,SMALL(全オプション!$F:$F,ROW(I145))),"")</f>
        <v/>
      </c>
      <c r="J147" s="22" t="str">
        <f>IFERROR(INDEX(全オプション!J:J,SMALL(全オプション!$F:$F,ROW(J145))),"")</f>
        <v/>
      </c>
    </row>
    <row r="148" spans="1:10" ht="17.850000000000001" customHeight="1">
      <c r="A148" s="21" t="str">
        <f>IFERROR(INDEX(全オプション!A:A,SMALL(全オプション!$F:$F,ROW(A146))),"")</f>
        <v/>
      </c>
      <c r="B148" s="20" t="str">
        <f>IFERROR(INDEX(全オプション!B:B,SMALL(全オプション!$F:$F,ROW(B146))),"")</f>
        <v/>
      </c>
      <c r="C148" s="9" t="str">
        <f>IFERROR(INDEX(全オプション!C:C,SMALL(全オプション!$F:$F,ROW(C146))),"")</f>
        <v/>
      </c>
      <c r="D148" s="18" t="str">
        <f>IFERROR(INDEX(全オプション!D:D,SMALL(全オプション!$F:$F,ROW(D146))),"")</f>
        <v/>
      </c>
      <c r="E148" s="19" t="str">
        <f>IFERROR(INDEX(全オプション!E:E,SMALL(全オプション!$F:$F,ROW(E146))),"")</f>
        <v/>
      </c>
      <c r="F148" s="2" t="str">
        <f>IFERROR(INDEX(全オプション!F:F,SMALL(全オプション!$F:$F,ROW(F146))),"")</f>
        <v/>
      </c>
      <c r="G148" s="4"/>
      <c r="H148" s="11" t="str">
        <f>IFERROR(INDEX(全オプション!H:H,SMALL(全オプション!$F:$F,ROW(H146))),"")</f>
        <v/>
      </c>
      <c r="I148" s="11" t="str">
        <f>IFERROR(INDEX(全オプション!I:I,SMALL(全オプション!$F:$F,ROW(I146))),"")</f>
        <v/>
      </c>
      <c r="J148" s="22" t="str">
        <f>IFERROR(INDEX(全オプション!J:J,SMALL(全オプション!$F:$F,ROW(J146))),"")</f>
        <v/>
      </c>
    </row>
    <row r="149" spans="1:10" ht="17.850000000000001" customHeight="1">
      <c r="A149" s="21" t="str">
        <f>IFERROR(INDEX(全オプション!A:A,SMALL(全オプション!$F:$F,ROW(A147))),"")</f>
        <v/>
      </c>
      <c r="B149" s="20" t="str">
        <f>IFERROR(INDEX(全オプション!B:B,SMALL(全オプション!$F:$F,ROW(B147))),"")</f>
        <v/>
      </c>
      <c r="C149" s="9" t="str">
        <f>IFERROR(INDEX(全オプション!C:C,SMALL(全オプション!$F:$F,ROW(C147))),"")</f>
        <v/>
      </c>
      <c r="D149" s="18" t="str">
        <f>IFERROR(INDEX(全オプション!D:D,SMALL(全オプション!$F:$F,ROW(D147))),"")</f>
        <v/>
      </c>
      <c r="E149" s="19" t="str">
        <f>IFERROR(INDEX(全オプション!E:E,SMALL(全オプション!$F:$F,ROW(E147))),"")</f>
        <v/>
      </c>
      <c r="F149" s="2" t="str">
        <f>IFERROR(INDEX(全オプション!F:F,SMALL(全オプション!$F:$F,ROW(F147))),"")</f>
        <v/>
      </c>
      <c r="G149" s="4"/>
      <c r="H149" s="11" t="str">
        <f>IFERROR(INDEX(全オプション!H:H,SMALL(全オプション!$F:$F,ROW(H147))),"")</f>
        <v/>
      </c>
      <c r="I149" s="11" t="str">
        <f>IFERROR(INDEX(全オプション!I:I,SMALL(全オプション!$F:$F,ROW(I147))),"")</f>
        <v/>
      </c>
      <c r="J149" s="22" t="str">
        <f>IFERROR(INDEX(全オプション!J:J,SMALL(全オプション!$F:$F,ROW(J147))),"")</f>
        <v/>
      </c>
    </row>
    <row r="150" spans="1:10" ht="17.850000000000001" customHeight="1">
      <c r="A150" s="21" t="str">
        <f>IFERROR(INDEX(全オプション!A:A,SMALL(全オプション!$F:$F,ROW(A148))),"")</f>
        <v/>
      </c>
      <c r="B150" s="20" t="str">
        <f>IFERROR(INDEX(全オプション!B:B,SMALL(全オプション!$F:$F,ROW(B148))),"")</f>
        <v/>
      </c>
      <c r="C150" s="9" t="str">
        <f>IFERROR(INDEX(全オプション!C:C,SMALL(全オプション!$F:$F,ROW(C148))),"")</f>
        <v/>
      </c>
      <c r="D150" s="18" t="str">
        <f>IFERROR(INDEX(全オプション!D:D,SMALL(全オプション!$F:$F,ROW(D148))),"")</f>
        <v/>
      </c>
      <c r="E150" s="19" t="str">
        <f>IFERROR(INDEX(全オプション!E:E,SMALL(全オプション!$F:$F,ROW(E148))),"")</f>
        <v/>
      </c>
      <c r="F150" s="2" t="str">
        <f>IFERROR(INDEX(全オプション!F:F,SMALL(全オプション!$F:$F,ROW(F148))),"")</f>
        <v/>
      </c>
      <c r="G150" s="4"/>
      <c r="H150" s="11" t="str">
        <f>IFERROR(INDEX(全オプション!H:H,SMALL(全オプション!$F:$F,ROW(H148))),"")</f>
        <v/>
      </c>
      <c r="I150" s="11" t="str">
        <f>IFERROR(INDEX(全オプション!I:I,SMALL(全オプション!$F:$F,ROW(I148))),"")</f>
        <v/>
      </c>
      <c r="J150" s="22" t="str">
        <f>IFERROR(INDEX(全オプション!J:J,SMALL(全オプション!$F:$F,ROW(J148))),"")</f>
        <v/>
      </c>
    </row>
    <row r="151" spans="1:10" ht="17.850000000000001" customHeight="1">
      <c r="A151" s="21" t="str">
        <f>IFERROR(INDEX(全オプション!A:A,SMALL(全オプション!$F:$F,ROW(A149))),"")</f>
        <v/>
      </c>
      <c r="B151" s="20" t="str">
        <f>IFERROR(INDEX(全オプション!B:B,SMALL(全オプション!$F:$F,ROW(B149))),"")</f>
        <v/>
      </c>
      <c r="C151" s="9" t="str">
        <f>IFERROR(INDEX(全オプション!C:C,SMALL(全オプション!$F:$F,ROW(C149))),"")</f>
        <v/>
      </c>
      <c r="D151" s="18" t="str">
        <f>IFERROR(INDEX(全オプション!D:D,SMALL(全オプション!$F:$F,ROW(D149))),"")</f>
        <v/>
      </c>
      <c r="E151" s="19" t="str">
        <f>IFERROR(INDEX(全オプション!E:E,SMALL(全オプション!$F:$F,ROW(E149))),"")</f>
        <v/>
      </c>
      <c r="F151" s="2" t="str">
        <f>IFERROR(INDEX(全オプション!F:F,SMALL(全オプション!$F:$F,ROW(F149))),"")</f>
        <v/>
      </c>
      <c r="G151" s="4"/>
      <c r="H151" s="11" t="str">
        <f>IFERROR(INDEX(全オプション!H:H,SMALL(全オプション!$F:$F,ROW(H149))),"")</f>
        <v/>
      </c>
      <c r="I151" s="11" t="str">
        <f>IFERROR(INDEX(全オプション!I:I,SMALL(全オプション!$F:$F,ROW(I149))),"")</f>
        <v/>
      </c>
      <c r="J151" s="22" t="str">
        <f>IFERROR(INDEX(全オプション!J:J,SMALL(全オプション!$F:$F,ROW(J149))),"")</f>
        <v/>
      </c>
    </row>
    <row r="152" spans="1:10" ht="17.850000000000001" customHeight="1">
      <c r="A152" s="21" t="str">
        <f>IFERROR(INDEX(全オプション!A:A,SMALL(全オプション!$F:$F,ROW(A150))),"")</f>
        <v/>
      </c>
      <c r="B152" s="20" t="str">
        <f>IFERROR(INDEX(全オプション!B:B,SMALL(全オプション!$F:$F,ROW(B150))),"")</f>
        <v/>
      </c>
      <c r="C152" s="9" t="str">
        <f>IFERROR(INDEX(全オプション!C:C,SMALL(全オプション!$F:$F,ROW(C150))),"")</f>
        <v/>
      </c>
      <c r="D152" s="18" t="str">
        <f>IFERROR(INDEX(全オプション!D:D,SMALL(全オプション!$F:$F,ROW(D150))),"")</f>
        <v/>
      </c>
      <c r="E152" s="19" t="str">
        <f>IFERROR(INDEX(全オプション!E:E,SMALL(全オプション!$F:$F,ROW(E150))),"")</f>
        <v/>
      </c>
      <c r="F152" s="2" t="str">
        <f>IFERROR(INDEX(全オプション!F:F,SMALL(全オプション!$F:$F,ROW(F150))),"")</f>
        <v/>
      </c>
      <c r="G152" s="3"/>
      <c r="H152" s="11" t="str">
        <f>IFERROR(INDEX(全オプション!H:H,SMALL(全オプション!$F:$F,ROW(H150))),"")</f>
        <v/>
      </c>
      <c r="I152" s="11" t="str">
        <f>IFERROR(INDEX(全オプション!I:I,SMALL(全オプション!$F:$F,ROW(I150))),"")</f>
        <v/>
      </c>
      <c r="J152" s="22" t="str">
        <f>IFERROR(INDEX(全オプション!J:J,SMALL(全オプション!$F:$F,ROW(J150))),"")</f>
        <v/>
      </c>
    </row>
    <row r="153" spans="1:10" ht="17.850000000000001" customHeight="1">
      <c r="A153" s="21" t="str">
        <f>IFERROR(INDEX(全オプション!A:A,SMALL(全オプション!$F:$F,ROW(A151))),"")</f>
        <v/>
      </c>
      <c r="B153" s="20" t="str">
        <f>IFERROR(INDEX(全オプション!B:B,SMALL(全オプション!$F:$F,ROW(B151))),"")</f>
        <v/>
      </c>
      <c r="C153" s="9" t="str">
        <f>IFERROR(INDEX(全オプション!C:C,SMALL(全オプション!$F:$F,ROW(C151))),"")</f>
        <v/>
      </c>
      <c r="D153" s="18" t="str">
        <f>IFERROR(INDEX(全オプション!D:D,SMALL(全オプション!$F:$F,ROW(D151))),"")</f>
        <v/>
      </c>
      <c r="E153" s="19" t="str">
        <f>IFERROR(INDEX(全オプション!E:E,SMALL(全オプション!$F:$F,ROW(E151))),"")</f>
        <v/>
      </c>
      <c r="F153" s="2" t="str">
        <f>IFERROR(INDEX(全オプション!F:F,SMALL(全オプション!$F:$F,ROW(F151))),"")</f>
        <v/>
      </c>
      <c r="G153" s="3"/>
      <c r="H153" s="11" t="str">
        <f>IFERROR(INDEX(全オプション!H:H,SMALL(全オプション!$F:$F,ROW(H151))),"")</f>
        <v/>
      </c>
      <c r="I153" s="11" t="str">
        <f>IFERROR(INDEX(全オプション!I:I,SMALL(全オプション!$F:$F,ROW(I151))),"")</f>
        <v/>
      </c>
      <c r="J153" s="22" t="str">
        <f>IFERROR(INDEX(全オプション!J:J,SMALL(全オプション!$F:$F,ROW(J151))),"")</f>
        <v/>
      </c>
    </row>
    <row r="154" spans="1:10" ht="17.850000000000001" customHeight="1">
      <c r="A154" s="21" t="str">
        <f>IFERROR(INDEX(全オプション!A:A,SMALL(全オプション!$F:$F,ROW(A152))),"")</f>
        <v/>
      </c>
      <c r="B154" s="20" t="str">
        <f>IFERROR(INDEX(全オプション!B:B,SMALL(全オプション!$F:$F,ROW(B152))),"")</f>
        <v/>
      </c>
      <c r="C154" s="9" t="str">
        <f>IFERROR(INDEX(全オプション!C:C,SMALL(全オプション!$F:$F,ROW(C152))),"")</f>
        <v/>
      </c>
      <c r="D154" s="18" t="str">
        <f>IFERROR(INDEX(全オプション!D:D,SMALL(全オプション!$F:$F,ROW(D152))),"")</f>
        <v/>
      </c>
      <c r="E154" s="19" t="str">
        <f>IFERROR(INDEX(全オプション!E:E,SMALL(全オプション!$F:$F,ROW(E152))),"")</f>
        <v/>
      </c>
      <c r="F154" s="2" t="str">
        <f>IFERROR(INDEX(全オプション!F:F,SMALL(全オプション!$F:$F,ROW(F152))),"")</f>
        <v/>
      </c>
      <c r="G154" s="4"/>
      <c r="H154" s="11" t="str">
        <f>IFERROR(INDEX(全オプション!H:H,SMALL(全オプション!$F:$F,ROW(H152))),"")</f>
        <v/>
      </c>
      <c r="I154" s="11" t="str">
        <f>IFERROR(INDEX(全オプション!I:I,SMALL(全オプション!$F:$F,ROW(I152))),"")</f>
        <v/>
      </c>
      <c r="J154" s="22" t="str">
        <f>IFERROR(INDEX(全オプション!J:J,SMALL(全オプション!$F:$F,ROW(J152))),"")</f>
        <v/>
      </c>
    </row>
    <row r="155" spans="1:10" ht="17.850000000000001" customHeight="1">
      <c r="A155" s="21" t="str">
        <f>IFERROR(INDEX(全オプション!A:A,SMALL(全オプション!$F:$F,ROW(A153))),"")</f>
        <v/>
      </c>
      <c r="B155" s="20" t="str">
        <f>IFERROR(INDEX(全オプション!B:B,SMALL(全オプション!$F:$F,ROW(B153))),"")</f>
        <v/>
      </c>
      <c r="C155" s="9" t="str">
        <f>IFERROR(INDEX(全オプション!C:C,SMALL(全オプション!$F:$F,ROW(C153))),"")</f>
        <v/>
      </c>
      <c r="D155" s="18" t="str">
        <f>IFERROR(INDEX(全オプション!D:D,SMALL(全オプション!$F:$F,ROW(D153))),"")</f>
        <v/>
      </c>
      <c r="E155" s="19" t="str">
        <f>IFERROR(INDEX(全オプション!E:E,SMALL(全オプション!$F:$F,ROW(E153))),"")</f>
        <v/>
      </c>
      <c r="F155" s="2" t="str">
        <f>IFERROR(INDEX(全オプション!F:F,SMALL(全オプション!$F:$F,ROW(F153))),"")</f>
        <v/>
      </c>
      <c r="G155" s="3"/>
      <c r="H155" s="11" t="str">
        <f>IFERROR(INDEX(全オプション!H:H,SMALL(全オプション!$F:$F,ROW(H153))),"")</f>
        <v/>
      </c>
      <c r="I155" s="11" t="str">
        <f>IFERROR(INDEX(全オプション!I:I,SMALL(全オプション!$F:$F,ROW(I153))),"")</f>
        <v/>
      </c>
      <c r="J155" s="22" t="str">
        <f>IFERROR(INDEX(全オプション!J:J,SMALL(全オプション!$F:$F,ROW(J153))),"")</f>
        <v/>
      </c>
    </row>
    <row r="156" spans="1:10" ht="17.850000000000001" customHeight="1">
      <c r="A156" s="21" t="str">
        <f>IFERROR(INDEX(全オプション!A:A,SMALL(全オプション!$F:$F,ROW(A154))),"")</f>
        <v/>
      </c>
      <c r="B156" s="20" t="str">
        <f>IFERROR(INDEX(全オプション!B:B,SMALL(全オプション!$F:$F,ROW(B154))),"")</f>
        <v/>
      </c>
      <c r="C156" s="9" t="str">
        <f>IFERROR(INDEX(全オプション!C:C,SMALL(全オプション!$F:$F,ROW(C154))),"")</f>
        <v/>
      </c>
      <c r="D156" s="18" t="str">
        <f>IFERROR(INDEX(全オプション!D:D,SMALL(全オプション!$F:$F,ROW(D154))),"")</f>
        <v/>
      </c>
      <c r="E156" s="19" t="str">
        <f>IFERROR(INDEX(全オプション!E:E,SMALL(全オプション!$F:$F,ROW(E154))),"")</f>
        <v/>
      </c>
      <c r="F156" s="2" t="str">
        <f>IFERROR(INDEX(全オプション!F:F,SMALL(全オプション!$F:$F,ROW(F154))),"")</f>
        <v/>
      </c>
      <c r="G156" s="4"/>
      <c r="H156" s="11" t="str">
        <f>IFERROR(INDEX(全オプション!H:H,SMALL(全オプション!$F:$F,ROW(H154))),"")</f>
        <v/>
      </c>
      <c r="I156" s="11" t="str">
        <f>IFERROR(INDEX(全オプション!I:I,SMALL(全オプション!$F:$F,ROW(I154))),"")</f>
        <v/>
      </c>
      <c r="J156" s="22" t="str">
        <f>IFERROR(INDEX(全オプション!J:J,SMALL(全オプション!$F:$F,ROW(J154))),"")</f>
        <v/>
      </c>
    </row>
    <row r="157" spans="1:10" ht="17.850000000000001" customHeight="1">
      <c r="A157" s="21" t="str">
        <f>IFERROR(INDEX(全オプション!A:A,SMALL(全オプション!$F:$F,ROW(A155))),"")</f>
        <v/>
      </c>
      <c r="B157" s="20" t="str">
        <f>IFERROR(INDEX(全オプション!B:B,SMALL(全オプション!$F:$F,ROW(B155))),"")</f>
        <v/>
      </c>
      <c r="C157" s="9" t="str">
        <f>IFERROR(INDEX(全オプション!C:C,SMALL(全オプション!$F:$F,ROW(C155))),"")</f>
        <v/>
      </c>
      <c r="D157" s="18" t="str">
        <f>IFERROR(INDEX(全オプション!D:D,SMALL(全オプション!$F:$F,ROW(D155))),"")</f>
        <v/>
      </c>
      <c r="E157" s="19" t="str">
        <f>IFERROR(INDEX(全オプション!E:E,SMALL(全オプション!$F:$F,ROW(E155))),"")</f>
        <v/>
      </c>
      <c r="F157" s="2" t="str">
        <f>IFERROR(INDEX(全オプション!F:F,SMALL(全オプション!$F:$F,ROW(F155))),"")</f>
        <v/>
      </c>
      <c r="G157" s="3"/>
      <c r="H157" s="11" t="str">
        <f>IFERROR(INDEX(全オプション!H:H,SMALL(全オプション!$F:$F,ROW(H155))),"")</f>
        <v/>
      </c>
      <c r="I157" s="11" t="str">
        <f>IFERROR(INDEX(全オプション!I:I,SMALL(全オプション!$F:$F,ROW(I155))),"")</f>
        <v/>
      </c>
      <c r="J157" s="22" t="str">
        <f>IFERROR(INDEX(全オプション!J:J,SMALL(全オプション!$F:$F,ROW(J155))),"")</f>
        <v/>
      </c>
    </row>
    <row r="158" spans="1:10" ht="17.850000000000001" customHeight="1">
      <c r="A158" s="21" t="str">
        <f>IFERROR(INDEX(全オプション!A:A,SMALL(全オプション!$F:$F,ROW(A156))),"")</f>
        <v/>
      </c>
      <c r="B158" s="20" t="str">
        <f>IFERROR(INDEX(全オプション!B:B,SMALL(全オプション!$F:$F,ROW(B156))),"")</f>
        <v/>
      </c>
      <c r="C158" s="9" t="str">
        <f>IFERROR(INDEX(全オプション!C:C,SMALL(全オプション!$F:$F,ROW(C156))),"")</f>
        <v/>
      </c>
      <c r="D158" s="18" t="str">
        <f>IFERROR(INDEX(全オプション!D:D,SMALL(全オプション!$F:$F,ROW(D156))),"")</f>
        <v/>
      </c>
      <c r="E158" s="19" t="str">
        <f>IFERROR(INDEX(全オプション!E:E,SMALL(全オプション!$F:$F,ROW(E156))),"")</f>
        <v/>
      </c>
      <c r="F158" s="2" t="str">
        <f>IFERROR(INDEX(全オプション!F:F,SMALL(全オプション!$F:$F,ROW(F156))),"")</f>
        <v/>
      </c>
      <c r="G158" s="4"/>
      <c r="H158" s="11" t="str">
        <f>IFERROR(INDEX(全オプション!H:H,SMALL(全オプション!$F:$F,ROW(H156))),"")</f>
        <v/>
      </c>
      <c r="I158" s="11" t="str">
        <f>IFERROR(INDEX(全オプション!I:I,SMALL(全オプション!$F:$F,ROW(I156))),"")</f>
        <v/>
      </c>
      <c r="J158" s="22" t="str">
        <f>IFERROR(INDEX(全オプション!J:J,SMALL(全オプション!$F:$F,ROW(J156))),"")</f>
        <v/>
      </c>
    </row>
    <row r="159" spans="1:10" ht="17.850000000000001" customHeight="1">
      <c r="A159" s="21" t="str">
        <f>IFERROR(INDEX(全オプション!A:A,SMALL(全オプション!$F:$F,ROW(A157))),"")</f>
        <v/>
      </c>
      <c r="B159" s="20" t="str">
        <f>IFERROR(INDEX(全オプション!B:B,SMALL(全オプション!$F:$F,ROW(B157))),"")</f>
        <v/>
      </c>
      <c r="C159" s="9" t="str">
        <f>IFERROR(INDEX(全オプション!C:C,SMALL(全オプション!$F:$F,ROW(C157))),"")</f>
        <v/>
      </c>
      <c r="D159" s="18" t="str">
        <f>IFERROR(INDEX(全オプション!D:D,SMALL(全オプション!$F:$F,ROW(D157))),"")</f>
        <v/>
      </c>
      <c r="E159" s="19" t="str">
        <f>IFERROR(INDEX(全オプション!E:E,SMALL(全オプション!$F:$F,ROW(E157))),"")</f>
        <v/>
      </c>
      <c r="F159" s="2" t="str">
        <f>IFERROR(INDEX(全オプション!F:F,SMALL(全オプション!$F:$F,ROW(F157))),"")</f>
        <v/>
      </c>
      <c r="G159" s="4"/>
      <c r="H159" s="11" t="str">
        <f>IFERROR(INDEX(全オプション!H:H,SMALL(全オプション!$F:$F,ROW(H157))),"")</f>
        <v/>
      </c>
      <c r="I159" s="11" t="str">
        <f>IFERROR(INDEX(全オプション!I:I,SMALL(全オプション!$F:$F,ROW(I157))),"")</f>
        <v/>
      </c>
      <c r="J159" s="22" t="str">
        <f>IFERROR(INDEX(全オプション!J:J,SMALL(全オプション!$F:$F,ROW(J157))),"")</f>
        <v/>
      </c>
    </row>
    <row r="160" spans="1:10" ht="17.850000000000001" customHeight="1">
      <c r="A160" s="21" t="str">
        <f>IFERROR(INDEX(全オプション!A:A,SMALL(全オプション!$F:$F,ROW(A158))),"")</f>
        <v/>
      </c>
      <c r="B160" s="20" t="str">
        <f>IFERROR(INDEX(全オプション!B:B,SMALL(全オプション!$F:$F,ROW(B158))),"")</f>
        <v/>
      </c>
      <c r="C160" s="9" t="str">
        <f>IFERROR(INDEX(全オプション!C:C,SMALL(全オプション!$F:$F,ROW(C158))),"")</f>
        <v/>
      </c>
      <c r="D160" s="18" t="str">
        <f>IFERROR(INDEX(全オプション!D:D,SMALL(全オプション!$F:$F,ROW(D158))),"")</f>
        <v/>
      </c>
      <c r="E160" s="19" t="str">
        <f>IFERROR(INDEX(全オプション!E:E,SMALL(全オプション!$F:$F,ROW(E158))),"")</f>
        <v/>
      </c>
      <c r="F160" s="2" t="str">
        <f>IFERROR(INDEX(全オプション!F:F,SMALL(全オプション!$F:$F,ROW(F158))),"")</f>
        <v/>
      </c>
      <c r="G160" s="4"/>
      <c r="H160" s="11" t="str">
        <f>IFERROR(INDEX(全オプション!H:H,SMALL(全オプション!$F:$F,ROW(H158))),"")</f>
        <v/>
      </c>
      <c r="I160" s="11" t="str">
        <f>IFERROR(INDEX(全オプション!I:I,SMALL(全オプション!$F:$F,ROW(I158))),"")</f>
        <v/>
      </c>
      <c r="J160" s="22" t="str">
        <f>IFERROR(INDEX(全オプション!J:J,SMALL(全オプション!$F:$F,ROW(J158))),"")</f>
        <v/>
      </c>
    </row>
    <row r="161" spans="1:10" ht="17.850000000000001" customHeight="1">
      <c r="A161" s="21" t="str">
        <f>IFERROR(INDEX(全オプション!A:A,SMALL(全オプション!$F:$F,ROW(A159))),"")</f>
        <v/>
      </c>
      <c r="B161" s="20" t="str">
        <f>IFERROR(INDEX(全オプション!B:B,SMALL(全オプション!$F:$F,ROW(B159))),"")</f>
        <v/>
      </c>
      <c r="C161" s="9" t="str">
        <f>IFERROR(INDEX(全オプション!C:C,SMALL(全オプション!$F:$F,ROW(C159))),"")</f>
        <v/>
      </c>
      <c r="D161" s="18" t="str">
        <f>IFERROR(INDEX(全オプション!D:D,SMALL(全オプション!$F:$F,ROW(D159))),"")</f>
        <v/>
      </c>
      <c r="E161" s="19" t="str">
        <f>IFERROR(INDEX(全オプション!E:E,SMALL(全オプション!$F:$F,ROW(E159))),"")</f>
        <v/>
      </c>
      <c r="F161" s="2" t="str">
        <f>IFERROR(INDEX(全オプション!F:F,SMALL(全オプション!$F:$F,ROW(F159))),"")</f>
        <v/>
      </c>
      <c r="G161" s="4"/>
      <c r="H161" s="11" t="str">
        <f>IFERROR(INDEX(全オプション!H:H,SMALL(全オプション!$F:$F,ROW(H159))),"")</f>
        <v/>
      </c>
      <c r="I161" s="11" t="str">
        <f>IFERROR(INDEX(全オプション!I:I,SMALL(全オプション!$F:$F,ROW(I159))),"")</f>
        <v/>
      </c>
      <c r="J161" s="22" t="str">
        <f>IFERROR(INDEX(全オプション!J:J,SMALL(全オプション!$F:$F,ROW(J159))),"")</f>
        <v/>
      </c>
    </row>
    <row r="162" spans="1:10" ht="17.850000000000001" customHeight="1">
      <c r="A162" s="21" t="str">
        <f>IFERROR(INDEX(全オプション!A:A,SMALL(全オプション!$F:$F,ROW(A160))),"")</f>
        <v/>
      </c>
      <c r="B162" s="20" t="str">
        <f>IFERROR(INDEX(全オプション!B:B,SMALL(全オプション!$F:$F,ROW(B160))),"")</f>
        <v/>
      </c>
      <c r="C162" s="9" t="str">
        <f>IFERROR(INDEX(全オプション!C:C,SMALL(全オプション!$F:$F,ROW(C160))),"")</f>
        <v/>
      </c>
      <c r="D162" s="18" t="str">
        <f>IFERROR(INDEX(全オプション!D:D,SMALL(全オプション!$F:$F,ROW(D160))),"")</f>
        <v/>
      </c>
      <c r="E162" s="19" t="str">
        <f>IFERROR(INDEX(全オプション!E:E,SMALL(全オプション!$F:$F,ROW(E160))),"")</f>
        <v/>
      </c>
      <c r="F162" s="2" t="str">
        <f>IFERROR(INDEX(全オプション!F:F,SMALL(全オプション!$F:$F,ROW(F160))),"")</f>
        <v/>
      </c>
      <c r="G162" s="3"/>
      <c r="H162" s="11" t="str">
        <f>IFERROR(INDEX(全オプション!H:H,SMALL(全オプション!$F:$F,ROW(H160))),"")</f>
        <v/>
      </c>
      <c r="I162" s="11" t="str">
        <f>IFERROR(INDEX(全オプション!I:I,SMALL(全オプション!$F:$F,ROW(I160))),"")</f>
        <v/>
      </c>
      <c r="J162" s="22" t="str">
        <f>IFERROR(INDEX(全オプション!J:J,SMALL(全オプション!$F:$F,ROW(J160))),"")</f>
        <v/>
      </c>
    </row>
    <row r="163" spans="1:10" ht="17.850000000000001" customHeight="1">
      <c r="A163" s="21" t="str">
        <f>IFERROR(INDEX(全オプション!A:A,SMALL(全オプション!$F:$F,ROW(A161))),"")</f>
        <v/>
      </c>
      <c r="B163" s="20" t="str">
        <f>IFERROR(INDEX(全オプション!B:B,SMALL(全オプション!$F:$F,ROW(B161))),"")</f>
        <v/>
      </c>
      <c r="C163" s="9" t="str">
        <f>IFERROR(INDEX(全オプション!C:C,SMALL(全オプション!$F:$F,ROW(C161))),"")</f>
        <v/>
      </c>
      <c r="D163" s="18" t="str">
        <f>IFERROR(INDEX(全オプション!D:D,SMALL(全オプション!$F:$F,ROW(D161))),"")</f>
        <v/>
      </c>
      <c r="E163" s="19" t="str">
        <f>IFERROR(INDEX(全オプション!E:E,SMALL(全オプション!$F:$F,ROW(E161))),"")</f>
        <v/>
      </c>
      <c r="F163" s="2" t="str">
        <f>IFERROR(INDEX(全オプション!F:F,SMALL(全オプション!$F:$F,ROW(F161))),"")</f>
        <v/>
      </c>
      <c r="G163" s="3"/>
      <c r="H163" s="11" t="str">
        <f>IFERROR(INDEX(全オプション!H:H,SMALL(全オプション!$F:$F,ROW(H161))),"")</f>
        <v/>
      </c>
      <c r="I163" s="11" t="str">
        <f>IFERROR(INDEX(全オプション!I:I,SMALL(全オプション!$F:$F,ROW(I161))),"")</f>
        <v/>
      </c>
      <c r="J163" s="22" t="str">
        <f>IFERROR(INDEX(全オプション!J:J,SMALL(全オプション!$F:$F,ROW(J161))),"")</f>
        <v/>
      </c>
    </row>
    <row r="164" spans="1:10" ht="17.850000000000001" customHeight="1">
      <c r="A164" s="21" t="str">
        <f>IFERROR(INDEX(全オプション!A:A,SMALL(全オプション!$F:$F,ROW(A162))),"")</f>
        <v/>
      </c>
      <c r="B164" s="20" t="str">
        <f>IFERROR(INDEX(全オプション!B:B,SMALL(全オプション!$F:$F,ROW(B162))),"")</f>
        <v/>
      </c>
      <c r="C164" s="9" t="str">
        <f>IFERROR(INDEX(全オプション!C:C,SMALL(全オプション!$F:$F,ROW(C162))),"")</f>
        <v/>
      </c>
      <c r="D164" s="18" t="str">
        <f>IFERROR(INDEX(全オプション!D:D,SMALL(全オプション!$F:$F,ROW(D162))),"")</f>
        <v/>
      </c>
      <c r="E164" s="19" t="str">
        <f>IFERROR(INDEX(全オプション!E:E,SMALL(全オプション!$F:$F,ROW(E162))),"")</f>
        <v/>
      </c>
      <c r="F164" s="2" t="str">
        <f>IFERROR(INDEX(全オプション!F:F,SMALL(全オプション!$F:$F,ROW(F162))),"")</f>
        <v/>
      </c>
      <c r="G164" s="4"/>
      <c r="H164" s="11" t="str">
        <f>IFERROR(INDEX(全オプション!H:H,SMALL(全オプション!$F:$F,ROW(H162))),"")</f>
        <v/>
      </c>
      <c r="I164" s="11" t="str">
        <f>IFERROR(INDEX(全オプション!I:I,SMALL(全オプション!$F:$F,ROW(I162))),"")</f>
        <v/>
      </c>
      <c r="J164" s="22" t="str">
        <f>IFERROR(INDEX(全オプション!J:J,SMALL(全オプション!$F:$F,ROW(J162))),"")</f>
        <v/>
      </c>
    </row>
    <row r="165" spans="1:10" ht="17.850000000000001" customHeight="1">
      <c r="A165" s="21" t="str">
        <f>IFERROR(INDEX(全オプション!A:A,SMALL(全オプション!$F:$F,ROW(A163))),"")</f>
        <v/>
      </c>
      <c r="B165" s="20" t="str">
        <f>IFERROR(INDEX(全オプション!B:B,SMALL(全オプション!$F:$F,ROW(B163))),"")</f>
        <v/>
      </c>
      <c r="C165" s="9" t="str">
        <f>IFERROR(INDEX(全オプション!C:C,SMALL(全オプション!$F:$F,ROW(C163))),"")</f>
        <v/>
      </c>
      <c r="D165" s="18" t="str">
        <f>IFERROR(INDEX(全オプション!D:D,SMALL(全オプション!$F:$F,ROW(D163))),"")</f>
        <v/>
      </c>
      <c r="E165" s="19" t="str">
        <f>IFERROR(INDEX(全オプション!E:E,SMALL(全オプション!$F:$F,ROW(E163))),"")</f>
        <v/>
      </c>
      <c r="F165" s="2" t="str">
        <f>IFERROR(INDEX(全オプション!F:F,SMALL(全オプション!$F:$F,ROW(F163))),"")</f>
        <v/>
      </c>
      <c r="G165" s="4"/>
      <c r="H165" s="11" t="str">
        <f>IFERROR(INDEX(全オプション!H:H,SMALL(全オプション!$F:$F,ROW(H163))),"")</f>
        <v/>
      </c>
      <c r="I165" s="11" t="str">
        <f>IFERROR(INDEX(全オプション!I:I,SMALL(全オプション!$F:$F,ROW(I163))),"")</f>
        <v/>
      </c>
      <c r="J165" s="22" t="str">
        <f>IFERROR(INDEX(全オプション!J:J,SMALL(全オプション!$F:$F,ROW(J163))),"")</f>
        <v/>
      </c>
    </row>
    <row r="166" spans="1:10" ht="17.850000000000001" customHeight="1">
      <c r="A166" s="21" t="str">
        <f>IFERROR(INDEX(全オプション!A:A,SMALL(全オプション!$F:$F,ROW(A164))),"")</f>
        <v/>
      </c>
      <c r="B166" s="20" t="str">
        <f>IFERROR(INDEX(全オプション!B:B,SMALL(全オプション!$F:$F,ROW(B164))),"")</f>
        <v/>
      </c>
      <c r="C166" s="9" t="str">
        <f>IFERROR(INDEX(全オプション!C:C,SMALL(全オプション!$F:$F,ROW(C164))),"")</f>
        <v/>
      </c>
      <c r="D166" s="18" t="str">
        <f>IFERROR(INDEX(全オプション!D:D,SMALL(全オプション!$F:$F,ROW(D164))),"")</f>
        <v/>
      </c>
      <c r="E166" s="19" t="str">
        <f>IFERROR(INDEX(全オプション!E:E,SMALL(全オプション!$F:$F,ROW(E164))),"")</f>
        <v/>
      </c>
      <c r="F166" s="2" t="str">
        <f>IFERROR(INDEX(全オプション!F:F,SMALL(全オプション!$F:$F,ROW(F164))),"")</f>
        <v/>
      </c>
      <c r="G166" s="4"/>
      <c r="H166" s="11" t="str">
        <f>IFERROR(INDEX(全オプション!H:H,SMALL(全オプション!$F:$F,ROW(H164))),"")</f>
        <v/>
      </c>
      <c r="I166" s="11" t="str">
        <f>IFERROR(INDEX(全オプション!I:I,SMALL(全オプション!$F:$F,ROW(I164))),"")</f>
        <v/>
      </c>
      <c r="J166" s="22" t="str">
        <f>IFERROR(INDEX(全オプション!J:J,SMALL(全オプション!$F:$F,ROW(J164))),"")</f>
        <v/>
      </c>
    </row>
    <row r="167" spans="1:10" ht="17.850000000000001" customHeight="1">
      <c r="A167" s="21" t="str">
        <f>IFERROR(INDEX(全オプション!A:A,SMALL(全オプション!$F:$F,ROW(A165))),"")</f>
        <v/>
      </c>
      <c r="B167" s="20" t="str">
        <f>IFERROR(INDEX(全オプション!B:B,SMALL(全オプション!$F:$F,ROW(B165))),"")</f>
        <v/>
      </c>
      <c r="C167" s="9" t="str">
        <f>IFERROR(INDEX(全オプション!C:C,SMALL(全オプション!$F:$F,ROW(C165))),"")</f>
        <v/>
      </c>
      <c r="D167" s="18" t="str">
        <f>IFERROR(INDEX(全オプション!D:D,SMALL(全オプション!$F:$F,ROW(D165))),"")</f>
        <v/>
      </c>
      <c r="E167" s="19" t="str">
        <f>IFERROR(INDEX(全オプション!E:E,SMALL(全オプション!$F:$F,ROW(E165))),"")</f>
        <v/>
      </c>
      <c r="F167" s="2" t="str">
        <f>IFERROR(INDEX(全オプション!F:F,SMALL(全オプション!$F:$F,ROW(F165))),"")</f>
        <v/>
      </c>
      <c r="G167" s="3"/>
      <c r="H167" s="11" t="str">
        <f>IFERROR(INDEX(全オプション!H:H,SMALL(全オプション!$F:$F,ROW(H165))),"")</f>
        <v/>
      </c>
      <c r="I167" s="11" t="str">
        <f>IFERROR(INDEX(全オプション!I:I,SMALL(全オプション!$F:$F,ROW(I165))),"")</f>
        <v/>
      </c>
      <c r="J167" s="22" t="str">
        <f>IFERROR(INDEX(全オプション!J:J,SMALL(全オプション!$F:$F,ROW(J165))),"")</f>
        <v/>
      </c>
    </row>
    <row r="168" spans="1:10" ht="17.850000000000001" customHeight="1">
      <c r="A168" s="21" t="str">
        <f>IFERROR(INDEX(全オプション!A:A,SMALL(全オプション!$F:$F,ROW(A166))),"")</f>
        <v/>
      </c>
      <c r="B168" s="20" t="str">
        <f>IFERROR(INDEX(全オプション!B:B,SMALL(全オプション!$F:$F,ROW(B166))),"")</f>
        <v/>
      </c>
      <c r="C168" s="9" t="str">
        <f>IFERROR(INDEX(全オプション!C:C,SMALL(全オプション!$F:$F,ROW(C166))),"")</f>
        <v/>
      </c>
      <c r="D168" s="18" t="str">
        <f>IFERROR(INDEX(全オプション!D:D,SMALL(全オプション!$F:$F,ROW(D166))),"")</f>
        <v/>
      </c>
      <c r="E168" s="19" t="str">
        <f>IFERROR(INDEX(全オプション!E:E,SMALL(全オプション!$F:$F,ROW(E166))),"")</f>
        <v/>
      </c>
      <c r="F168" s="2" t="str">
        <f>IFERROR(INDEX(全オプション!F:F,SMALL(全オプション!$F:$F,ROW(F166))),"")</f>
        <v/>
      </c>
      <c r="G168" s="3"/>
      <c r="H168" s="11" t="str">
        <f>IFERROR(INDEX(全オプション!H:H,SMALL(全オプション!$F:$F,ROW(H166))),"")</f>
        <v/>
      </c>
      <c r="I168" s="11" t="str">
        <f>IFERROR(INDEX(全オプション!I:I,SMALL(全オプション!$F:$F,ROW(I166))),"")</f>
        <v/>
      </c>
      <c r="J168" s="22" t="str">
        <f>IFERROR(INDEX(全オプション!J:J,SMALL(全オプション!$F:$F,ROW(J166))),"")</f>
        <v/>
      </c>
    </row>
    <row r="169" spans="1:10" ht="17.850000000000001" customHeight="1">
      <c r="A169" s="21" t="str">
        <f>IFERROR(INDEX(全オプション!A:A,SMALL(全オプション!$F:$F,ROW(A167))),"")</f>
        <v/>
      </c>
      <c r="B169" s="20" t="str">
        <f>IFERROR(INDEX(全オプション!B:B,SMALL(全オプション!$F:$F,ROW(B167))),"")</f>
        <v/>
      </c>
      <c r="C169" s="9" t="str">
        <f>IFERROR(INDEX(全オプション!C:C,SMALL(全オプション!$F:$F,ROW(C167))),"")</f>
        <v/>
      </c>
      <c r="D169" s="18" t="str">
        <f>IFERROR(INDEX(全オプション!D:D,SMALL(全オプション!$F:$F,ROW(D167))),"")</f>
        <v/>
      </c>
      <c r="E169" s="19" t="str">
        <f>IFERROR(INDEX(全オプション!E:E,SMALL(全オプション!$F:$F,ROW(E167))),"")</f>
        <v/>
      </c>
      <c r="F169" s="2" t="str">
        <f>IFERROR(INDEX(全オプション!F:F,SMALL(全オプション!$F:$F,ROW(F167))),"")</f>
        <v/>
      </c>
      <c r="G169" s="3"/>
      <c r="H169" s="11" t="str">
        <f>IFERROR(INDEX(全オプション!H:H,SMALL(全オプション!$F:$F,ROW(H167))),"")</f>
        <v/>
      </c>
      <c r="I169" s="11" t="str">
        <f>IFERROR(INDEX(全オプション!I:I,SMALL(全オプション!$F:$F,ROW(I167))),"")</f>
        <v/>
      </c>
      <c r="J169" s="22" t="str">
        <f>IFERROR(INDEX(全オプション!J:J,SMALL(全オプション!$F:$F,ROW(J167))),"")</f>
        <v/>
      </c>
    </row>
    <row r="170" spans="1:10" ht="17.850000000000001" customHeight="1">
      <c r="A170" s="21" t="str">
        <f>IFERROR(INDEX(全オプション!A:A,SMALL(全オプション!$F:$F,ROW(A168))),"")</f>
        <v/>
      </c>
      <c r="B170" s="20" t="str">
        <f>IFERROR(INDEX(全オプション!B:B,SMALL(全オプション!$F:$F,ROW(B168))),"")</f>
        <v/>
      </c>
      <c r="C170" s="9" t="str">
        <f>IFERROR(INDEX(全オプション!C:C,SMALL(全オプション!$F:$F,ROW(C168))),"")</f>
        <v/>
      </c>
      <c r="D170" s="18" t="str">
        <f>IFERROR(INDEX(全オプション!D:D,SMALL(全オプション!$F:$F,ROW(D168))),"")</f>
        <v/>
      </c>
      <c r="E170" s="19" t="str">
        <f>IFERROR(INDEX(全オプション!E:E,SMALL(全オプション!$F:$F,ROW(E168))),"")</f>
        <v/>
      </c>
      <c r="F170" s="2" t="str">
        <f>IFERROR(INDEX(全オプション!F:F,SMALL(全オプション!$F:$F,ROW(F168))),"")</f>
        <v/>
      </c>
      <c r="G170" s="3"/>
      <c r="H170" s="11" t="str">
        <f>IFERROR(INDEX(全オプション!H:H,SMALL(全オプション!$F:$F,ROW(H168))),"")</f>
        <v/>
      </c>
      <c r="I170" s="11" t="str">
        <f>IFERROR(INDEX(全オプション!I:I,SMALL(全オプション!$F:$F,ROW(I168))),"")</f>
        <v/>
      </c>
      <c r="J170" s="22" t="str">
        <f>IFERROR(INDEX(全オプション!J:J,SMALL(全オプション!$F:$F,ROW(J168))),"")</f>
        <v/>
      </c>
    </row>
    <row r="171" spans="1:10" ht="17.850000000000001" customHeight="1">
      <c r="A171" s="21" t="str">
        <f>IFERROR(INDEX(全オプション!A:A,SMALL(全オプション!$F:$F,ROW(A169))),"")</f>
        <v/>
      </c>
      <c r="B171" s="20" t="str">
        <f>IFERROR(INDEX(全オプション!B:B,SMALL(全オプション!$F:$F,ROW(B169))),"")</f>
        <v/>
      </c>
      <c r="C171" s="9" t="str">
        <f>IFERROR(INDEX(全オプション!C:C,SMALL(全オプション!$F:$F,ROW(C169))),"")</f>
        <v/>
      </c>
      <c r="D171" s="18" t="str">
        <f>IFERROR(INDEX(全オプション!D:D,SMALL(全オプション!$F:$F,ROW(D169))),"")</f>
        <v/>
      </c>
      <c r="E171" s="19" t="str">
        <f>IFERROR(INDEX(全オプション!E:E,SMALL(全オプション!$F:$F,ROW(E169))),"")</f>
        <v/>
      </c>
      <c r="F171" s="2" t="str">
        <f>IFERROR(INDEX(全オプション!F:F,SMALL(全オプション!$F:$F,ROW(F169))),"")</f>
        <v/>
      </c>
      <c r="G171" s="3"/>
      <c r="H171" s="11" t="str">
        <f>IFERROR(INDEX(全オプション!H:H,SMALL(全オプション!$F:$F,ROW(H169))),"")</f>
        <v/>
      </c>
      <c r="I171" s="11" t="str">
        <f>IFERROR(INDEX(全オプション!I:I,SMALL(全オプション!$F:$F,ROW(I169))),"")</f>
        <v/>
      </c>
      <c r="J171" s="22" t="str">
        <f>IFERROR(INDEX(全オプション!J:J,SMALL(全オプション!$F:$F,ROW(J169))),"")</f>
        <v/>
      </c>
    </row>
    <row r="172" spans="1:10" ht="17.850000000000001" customHeight="1">
      <c r="A172" s="21" t="str">
        <f>IFERROR(INDEX(全オプション!A:A,SMALL(全オプション!$F:$F,ROW(A170))),"")</f>
        <v/>
      </c>
      <c r="B172" s="20" t="str">
        <f>IFERROR(INDEX(全オプション!B:B,SMALL(全オプション!$F:$F,ROW(B170))),"")</f>
        <v/>
      </c>
      <c r="C172" s="9" t="str">
        <f>IFERROR(INDEX(全オプション!C:C,SMALL(全オプション!$F:$F,ROW(C170))),"")</f>
        <v/>
      </c>
      <c r="D172" s="18" t="str">
        <f>IFERROR(INDEX(全オプション!D:D,SMALL(全オプション!$F:$F,ROW(D170))),"")</f>
        <v/>
      </c>
      <c r="E172" s="19" t="str">
        <f>IFERROR(INDEX(全オプション!E:E,SMALL(全オプション!$F:$F,ROW(E170))),"")</f>
        <v/>
      </c>
      <c r="F172" s="2" t="str">
        <f>IFERROR(INDEX(全オプション!F:F,SMALL(全オプション!$F:$F,ROW(F170))),"")</f>
        <v/>
      </c>
      <c r="H172" s="11" t="str">
        <f>IFERROR(INDEX(全オプション!H:H,SMALL(全オプション!$F:$F,ROW(H170))),"")</f>
        <v/>
      </c>
      <c r="I172" s="11" t="str">
        <f>IFERROR(INDEX(全オプション!I:I,SMALL(全オプション!$F:$F,ROW(I170))),"")</f>
        <v/>
      </c>
      <c r="J172" s="22" t="str">
        <f>IFERROR(INDEX(全オプション!J:J,SMALL(全オプション!$F:$F,ROW(J170))),"")</f>
        <v/>
      </c>
    </row>
    <row r="173" spans="1:10" ht="17.850000000000001" customHeight="1">
      <c r="A173" s="21" t="str">
        <f>IFERROR(INDEX(全オプション!A:A,SMALL(全オプション!$F:$F,ROW(A171))),"")</f>
        <v/>
      </c>
      <c r="B173" s="20" t="str">
        <f>IFERROR(INDEX(全オプション!B:B,SMALL(全オプション!$F:$F,ROW(B171))),"")</f>
        <v/>
      </c>
      <c r="C173" s="9" t="str">
        <f>IFERROR(INDEX(全オプション!C:C,SMALL(全オプション!$F:$F,ROW(C171))),"")</f>
        <v/>
      </c>
      <c r="D173" s="18" t="str">
        <f>IFERROR(INDEX(全オプション!D:D,SMALL(全オプション!$F:$F,ROW(D171))),"")</f>
        <v/>
      </c>
      <c r="E173" s="19" t="str">
        <f>IFERROR(INDEX(全オプション!E:E,SMALL(全オプション!$F:$F,ROW(E171))),"")</f>
        <v/>
      </c>
      <c r="F173" s="2" t="str">
        <f>IFERROR(INDEX(全オプション!F:F,SMALL(全オプション!$F:$F,ROW(F171))),"")</f>
        <v/>
      </c>
      <c r="H173" s="11" t="str">
        <f>IFERROR(INDEX(全オプション!H:H,SMALL(全オプション!$F:$F,ROW(H171))),"")</f>
        <v/>
      </c>
      <c r="I173" s="11" t="str">
        <f>IFERROR(INDEX(全オプション!I:I,SMALL(全オプション!$F:$F,ROW(I171))),"")</f>
        <v/>
      </c>
      <c r="J173" s="22" t="str">
        <f>IFERROR(INDEX(全オプション!J:J,SMALL(全オプション!$F:$F,ROW(J171))),"")</f>
        <v/>
      </c>
    </row>
    <row r="174" spans="1:10" ht="17.850000000000001" customHeight="1">
      <c r="A174" s="21" t="str">
        <f>IFERROR(INDEX(全オプション!A:A,SMALL(全オプション!$F:$F,ROW(A172))),"")</f>
        <v/>
      </c>
      <c r="B174" s="20" t="str">
        <f>IFERROR(INDEX(全オプション!B:B,SMALL(全オプション!$F:$F,ROW(B172))),"")</f>
        <v/>
      </c>
      <c r="C174" s="9" t="str">
        <f>IFERROR(INDEX(全オプション!C:C,SMALL(全オプション!$F:$F,ROW(C172))),"")</f>
        <v/>
      </c>
      <c r="D174" s="18" t="str">
        <f>IFERROR(INDEX(全オプション!D:D,SMALL(全オプション!$F:$F,ROW(D172))),"")</f>
        <v/>
      </c>
      <c r="E174" s="19" t="str">
        <f>IFERROR(INDEX(全オプション!E:E,SMALL(全オプション!$F:$F,ROW(E172))),"")</f>
        <v/>
      </c>
      <c r="F174" s="2" t="str">
        <f>IFERROR(INDEX(全オプション!F:F,SMALL(全オプション!$F:$F,ROW(F172))),"")</f>
        <v/>
      </c>
      <c r="H174" s="11" t="str">
        <f>IFERROR(INDEX(全オプション!H:H,SMALL(全オプション!$F:$F,ROW(H172))),"")</f>
        <v/>
      </c>
      <c r="I174" s="11" t="str">
        <f>IFERROR(INDEX(全オプション!I:I,SMALL(全オプション!$F:$F,ROW(I172))),"")</f>
        <v/>
      </c>
      <c r="J174" s="22" t="str">
        <f>IFERROR(INDEX(全オプション!J:J,SMALL(全オプション!$F:$F,ROW(J172))),"")</f>
        <v/>
      </c>
    </row>
    <row r="175" spans="1:10" ht="17.850000000000001" customHeight="1">
      <c r="A175" s="21" t="str">
        <f>IFERROR(INDEX(全オプション!A:A,SMALL(全オプション!$F:$F,ROW(A173))),"")</f>
        <v/>
      </c>
      <c r="B175" s="20" t="str">
        <f>IFERROR(INDEX(全オプション!B:B,SMALL(全オプション!$F:$F,ROW(B173))),"")</f>
        <v/>
      </c>
      <c r="C175" s="9" t="str">
        <f>IFERROR(INDEX(全オプション!C:C,SMALL(全オプション!$F:$F,ROW(C173))),"")</f>
        <v/>
      </c>
      <c r="D175" s="18" t="str">
        <f>IFERROR(INDEX(全オプション!D:D,SMALL(全オプション!$F:$F,ROW(D173))),"")</f>
        <v/>
      </c>
      <c r="E175" s="19" t="str">
        <f>IFERROR(INDEX(全オプション!E:E,SMALL(全オプション!$F:$F,ROW(E173))),"")</f>
        <v/>
      </c>
      <c r="F175" s="2" t="str">
        <f>IFERROR(INDEX(全オプション!F:F,SMALL(全オプション!$F:$F,ROW(F173))),"")</f>
        <v/>
      </c>
      <c r="H175" s="11" t="str">
        <f>IFERROR(INDEX(全オプション!H:H,SMALL(全オプション!$F:$F,ROW(H173))),"")</f>
        <v/>
      </c>
      <c r="I175" s="11" t="str">
        <f>IFERROR(INDEX(全オプション!I:I,SMALL(全オプション!$F:$F,ROW(I173))),"")</f>
        <v/>
      </c>
      <c r="J175" s="22" t="str">
        <f>IFERROR(INDEX(全オプション!J:J,SMALL(全オプション!$F:$F,ROW(J173))),"")</f>
        <v/>
      </c>
    </row>
    <row r="176" spans="1:10" ht="17.850000000000001" customHeight="1">
      <c r="A176" s="21" t="str">
        <f>IFERROR(INDEX(全オプション!A:A,SMALL(全オプション!$F:$F,ROW(A174))),"")</f>
        <v/>
      </c>
      <c r="B176" s="20" t="str">
        <f>IFERROR(INDEX(全オプション!B:B,SMALL(全オプション!$F:$F,ROW(B174))),"")</f>
        <v/>
      </c>
      <c r="C176" s="9" t="str">
        <f>IFERROR(INDEX(全オプション!C:C,SMALL(全オプション!$F:$F,ROW(C174))),"")</f>
        <v/>
      </c>
      <c r="D176" s="18" t="str">
        <f>IFERROR(INDEX(全オプション!D:D,SMALL(全オプション!$F:$F,ROW(D174))),"")</f>
        <v/>
      </c>
      <c r="E176" s="19" t="str">
        <f>IFERROR(INDEX(全オプション!E:E,SMALL(全オプション!$F:$F,ROW(E174))),"")</f>
        <v/>
      </c>
      <c r="F176" s="2" t="str">
        <f>IFERROR(INDEX(全オプション!F:F,SMALL(全オプション!$F:$F,ROW(F174))),"")</f>
        <v/>
      </c>
      <c r="H176" s="11" t="str">
        <f>IFERROR(INDEX(全オプション!H:H,SMALL(全オプション!$F:$F,ROW(H174))),"")</f>
        <v/>
      </c>
      <c r="I176" s="11" t="str">
        <f>IFERROR(INDEX(全オプション!I:I,SMALL(全オプション!$F:$F,ROW(I174))),"")</f>
        <v/>
      </c>
      <c r="J176" s="22" t="str">
        <f>IFERROR(INDEX(全オプション!J:J,SMALL(全オプション!$F:$F,ROW(J174))),"")</f>
        <v/>
      </c>
    </row>
    <row r="177" spans="1:10" ht="17.850000000000001" customHeight="1">
      <c r="A177" s="21" t="str">
        <f>IFERROR(INDEX(全オプション!A:A,SMALL(全オプション!$F:$F,ROW(A175))),"")</f>
        <v/>
      </c>
      <c r="B177" s="20" t="str">
        <f>IFERROR(INDEX(全オプション!B:B,SMALL(全オプション!$F:$F,ROW(B175))),"")</f>
        <v/>
      </c>
      <c r="C177" s="9" t="str">
        <f>IFERROR(INDEX(全オプション!C:C,SMALL(全オプション!$F:$F,ROW(C175))),"")</f>
        <v/>
      </c>
      <c r="D177" s="18" t="str">
        <f>IFERROR(INDEX(全オプション!D:D,SMALL(全オプション!$F:$F,ROW(D175))),"")</f>
        <v/>
      </c>
      <c r="E177" s="19" t="str">
        <f>IFERROR(INDEX(全オプション!E:E,SMALL(全オプション!$F:$F,ROW(E175))),"")</f>
        <v/>
      </c>
      <c r="F177" s="2" t="str">
        <f>IFERROR(INDEX(全オプション!F:F,SMALL(全オプション!$F:$F,ROW(F175))),"")</f>
        <v/>
      </c>
      <c r="H177" s="11" t="str">
        <f>IFERROR(INDEX(全オプション!H:H,SMALL(全オプション!$F:$F,ROW(H175))),"")</f>
        <v/>
      </c>
      <c r="I177" s="11" t="str">
        <f>IFERROR(INDEX(全オプション!I:I,SMALL(全オプション!$F:$F,ROW(I175))),"")</f>
        <v/>
      </c>
      <c r="J177" s="22" t="str">
        <f>IFERROR(INDEX(全オプション!J:J,SMALL(全オプション!$F:$F,ROW(J175))),"")</f>
        <v/>
      </c>
    </row>
    <row r="178" spans="1:10" ht="17.850000000000001" customHeight="1">
      <c r="A178" s="21" t="str">
        <f>IFERROR(INDEX(全オプション!A:A,SMALL(全オプション!$F:$F,ROW(A176))),"")</f>
        <v/>
      </c>
      <c r="B178" s="20" t="str">
        <f>IFERROR(INDEX(全オプション!B:B,SMALL(全オプション!$F:$F,ROW(B176))),"")</f>
        <v/>
      </c>
      <c r="C178" s="9" t="str">
        <f>IFERROR(INDEX(全オプション!C:C,SMALL(全オプション!$F:$F,ROW(C176))),"")</f>
        <v/>
      </c>
      <c r="D178" s="18" t="str">
        <f>IFERROR(INDEX(全オプション!D:D,SMALL(全オプション!$F:$F,ROW(D176))),"")</f>
        <v/>
      </c>
      <c r="E178" s="19" t="str">
        <f>IFERROR(INDEX(全オプション!E:E,SMALL(全オプション!$F:$F,ROW(E176))),"")</f>
        <v/>
      </c>
      <c r="F178" s="2" t="str">
        <f>IFERROR(INDEX(全オプション!F:F,SMALL(全オプション!$F:$F,ROW(F176))),"")</f>
        <v/>
      </c>
      <c r="G178" s="8"/>
      <c r="H178" s="11" t="str">
        <f>IFERROR(INDEX(全オプション!H:H,SMALL(全オプション!$F:$F,ROW(H176))),"")</f>
        <v/>
      </c>
      <c r="I178" s="11" t="str">
        <f>IFERROR(INDEX(全オプション!I:I,SMALL(全オプション!$F:$F,ROW(I176))),"")</f>
        <v/>
      </c>
      <c r="J178" s="22" t="str">
        <f>IFERROR(INDEX(全オプション!J:J,SMALL(全オプション!$F:$F,ROW(J176))),"")</f>
        <v/>
      </c>
    </row>
    <row r="179" spans="1:10">
      <c r="A179" s="21" t="str">
        <f>IFERROR(INDEX(全オプション!A:A,SMALL(全オプション!$F:$F,ROW(A177))),"")</f>
        <v/>
      </c>
      <c r="B179" s="20" t="str">
        <f>IFERROR(INDEX(全オプション!B:B,SMALL(全オプション!$F:$F,ROW(B177))),"")</f>
        <v/>
      </c>
      <c r="C179" s="9" t="str">
        <f>IFERROR(INDEX(全オプション!C:C,SMALL(全オプション!$F:$F,ROW(C177))),"")</f>
        <v/>
      </c>
      <c r="D179" s="18" t="str">
        <f>IFERROR(INDEX(全オプション!D:D,SMALL(全オプション!$F:$F,ROW(D177))),"")</f>
        <v/>
      </c>
      <c r="E179" s="19" t="str">
        <f>IFERROR(INDEX(全オプション!E:E,SMALL(全オプション!$F:$F,ROW(E177))),"")</f>
        <v/>
      </c>
      <c r="F179" s="2" t="str">
        <f>IFERROR(INDEX(全オプション!F:F,SMALL(全オプション!$F:$F,ROW(F177))),"")</f>
        <v/>
      </c>
      <c r="H179" s="11" t="str">
        <f>IFERROR(INDEX(全オプション!H:H,SMALL(全オプション!$F:$F,ROW(H177))),"")</f>
        <v/>
      </c>
      <c r="I179" s="11" t="str">
        <f>IFERROR(INDEX(全オプション!I:I,SMALL(全オプション!$F:$F,ROW(I177))),"")</f>
        <v/>
      </c>
      <c r="J179" s="22" t="str">
        <f>IFERROR(INDEX(全オプション!J:J,SMALL(全オプション!$F:$F,ROW(J177))),"")</f>
        <v/>
      </c>
    </row>
    <row r="180" spans="1:10">
      <c r="A180" s="21" t="str">
        <f>IFERROR(INDEX(全オプション!A:A,SMALL(全オプション!$F:$F,ROW(A178))),"")</f>
        <v/>
      </c>
      <c r="B180" s="20" t="str">
        <f>IFERROR(INDEX(全オプション!B:B,SMALL(全オプション!$F:$F,ROW(B178))),"")</f>
        <v/>
      </c>
      <c r="C180" s="9" t="str">
        <f>IFERROR(INDEX(全オプション!C:C,SMALL(全オプション!$F:$F,ROW(C178))),"")</f>
        <v/>
      </c>
      <c r="D180" s="18" t="str">
        <f>IFERROR(INDEX(全オプション!D:D,SMALL(全オプション!$F:$F,ROW(D178))),"")</f>
        <v/>
      </c>
      <c r="E180" s="19" t="str">
        <f>IFERROR(INDEX(全オプション!E:E,SMALL(全オプション!$F:$F,ROW(E178))),"")</f>
        <v/>
      </c>
      <c r="F180" s="2" t="str">
        <f>IFERROR(INDEX(全オプション!F:F,SMALL(全オプション!$F:$F,ROW(F178))),"")</f>
        <v/>
      </c>
      <c r="H180" s="11" t="str">
        <f>IFERROR(INDEX(全オプション!H:H,SMALL(全オプション!$F:$F,ROW(H178))),"")</f>
        <v/>
      </c>
      <c r="I180" s="11" t="str">
        <f>IFERROR(INDEX(全オプション!I:I,SMALL(全オプション!$F:$F,ROW(I178))),"")</f>
        <v/>
      </c>
      <c r="J180" s="22" t="str">
        <f>IFERROR(INDEX(全オプション!J:J,SMALL(全オプション!$F:$F,ROW(J178))),"")</f>
        <v/>
      </c>
    </row>
    <row r="181" spans="1:10">
      <c r="A181" s="21" t="str">
        <f>IFERROR(INDEX(全オプション!A:A,SMALL(全オプション!$F:$F,ROW(A179))),"")</f>
        <v/>
      </c>
      <c r="B181" s="20" t="str">
        <f>IFERROR(INDEX(全オプション!B:B,SMALL(全オプション!$F:$F,ROW(B179))),"")</f>
        <v/>
      </c>
      <c r="C181" s="9" t="str">
        <f>IFERROR(INDEX(全オプション!C:C,SMALL(全オプション!$F:$F,ROW(C179))),"")</f>
        <v/>
      </c>
      <c r="D181" s="18" t="str">
        <f>IFERROR(INDEX(全オプション!D:D,SMALL(全オプション!$F:$F,ROW(D179))),"")</f>
        <v/>
      </c>
      <c r="E181" s="19" t="str">
        <f>IFERROR(INDEX(全オプション!E:E,SMALL(全オプション!$F:$F,ROW(E179))),"")</f>
        <v/>
      </c>
      <c r="F181" s="2" t="str">
        <f>IFERROR(INDEX(全オプション!F:F,SMALL(全オプション!$F:$F,ROW(F179))),"")</f>
        <v/>
      </c>
      <c r="H181" s="11" t="str">
        <f>IFERROR(INDEX(全オプション!H:H,SMALL(全オプション!$F:$F,ROW(H179))),"")</f>
        <v/>
      </c>
      <c r="I181" s="11" t="str">
        <f>IFERROR(INDEX(全オプション!I:I,SMALL(全オプション!$F:$F,ROW(I179))),"")</f>
        <v/>
      </c>
      <c r="J181" s="22" t="str">
        <f>IFERROR(INDEX(全オプション!J:J,SMALL(全オプション!$F:$F,ROW(J179))),"")</f>
        <v/>
      </c>
    </row>
    <row r="182" spans="1:10">
      <c r="A182" s="21" t="str">
        <f>IFERROR(INDEX(全オプション!A:A,SMALL(全オプション!$F:$F,ROW(A180))),"")</f>
        <v/>
      </c>
      <c r="B182" s="20" t="str">
        <f>IFERROR(INDEX(全オプション!B:B,SMALL(全オプション!$F:$F,ROW(B180))),"")</f>
        <v/>
      </c>
      <c r="C182" s="9" t="str">
        <f>IFERROR(INDEX(全オプション!C:C,SMALL(全オプション!$F:$F,ROW(C180))),"")</f>
        <v/>
      </c>
      <c r="D182" s="18" t="str">
        <f>IFERROR(INDEX(全オプション!D:D,SMALL(全オプション!$F:$F,ROW(D180))),"")</f>
        <v/>
      </c>
      <c r="E182" s="19" t="str">
        <f>IFERROR(INDEX(全オプション!E:E,SMALL(全オプション!$F:$F,ROW(E180))),"")</f>
        <v/>
      </c>
      <c r="F182" s="2" t="str">
        <f>IFERROR(INDEX(全オプション!F:F,SMALL(全オプション!$F:$F,ROW(F180))),"")</f>
        <v/>
      </c>
      <c r="H182" s="11" t="str">
        <f>IFERROR(INDEX(全オプション!H:H,SMALL(全オプション!$F:$F,ROW(H180))),"")</f>
        <v/>
      </c>
      <c r="I182" s="11" t="str">
        <f>IFERROR(INDEX(全オプション!I:I,SMALL(全オプション!$F:$F,ROW(I180))),"")</f>
        <v/>
      </c>
      <c r="J182" s="22" t="str">
        <f>IFERROR(INDEX(全オプション!J:J,SMALL(全オプション!$F:$F,ROW(J180))),"")</f>
        <v/>
      </c>
    </row>
    <row r="183" spans="1:10">
      <c r="A183" s="21" t="str">
        <f>IFERROR(INDEX(全オプション!A:A,SMALL(全オプション!$F:$F,ROW(A181))),"")</f>
        <v/>
      </c>
      <c r="B183" s="20" t="str">
        <f>IFERROR(INDEX(全オプション!B:B,SMALL(全オプション!$F:$F,ROW(B181))),"")</f>
        <v/>
      </c>
      <c r="C183" s="9" t="str">
        <f>IFERROR(INDEX(全オプション!C:C,SMALL(全オプション!$F:$F,ROW(C181))),"")</f>
        <v/>
      </c>
      <c r="D183" s="18" t="str">
        <f>IFERROR(INDEX(全オプション!D:D,SMALL(全オプション!$F:$F,ROW(D181))),"")</f>
        <v/>
      </c>
      <c r="E183" s="19" t="str">
        <f>IFERROR(INDEX(全オプション!E:E,SMALL(全オプション!$F:$F,ROW(E181))),"")</f>
        <v/>
      </c>
      <c r="F183" s="2" t="str">
        <f>IFERROR(INDEX(全オプション!F:F,SMALL(全オプション!$F:$F,ROW(F181))),"")</f>
        <v/>
      </c>
      <c r="H183" s="11" t="str">
        <f>IFERROR(INDEX(全オプション!H:H,SMALL(全オプション!$F:$F,ROW(H181))),"")</f>
        <v/>
      </c>
      <c r="I183" s="11" t="str">
        <f>IFERROR(INDEX(全オプション!I:I,SMALL(全オプション!$F:$F,ROW(I181))),"")</f>
        <v/>
      </c>
      <c r="J183" s="22" t="str">
        <f>IFERROR(INDEX(全オプション!J:J,SMALL(全オプション!$F:$F,ROW(J181))),"")</f>
        <v/>
      </c>
    </row>
    <row r="184" spans="1:10">
      <c r="A184" s="21" t="str">
        <f>IFERROR(INDEX(全オプション!A:A,SMALL(全オプション!$F:$F,ROW(A182))),"")</f>
        <v/>
      </c>
      <c r="B184" s="20" t="str">
        <f>IFERROR(INDEX(全オプション!B:B,SMALL(全オプション!$F:$F,ROW(B182))),"")</f>
        <v/>
      </c>
      <c r="C184" s="9" t="str">
        <f>IFERROR(INDEX(全オプション!C:C,SMALL(全オプション!$F:$F,ROW(C182))),"")</f>
        <v/>
      </c>
      <c r="D184" s="18" t="str">
        <f>IFERROR(INDEX(全オプション!D:D,SMALL(全オプション!$F:$F,ROW(D182))),"")</f>
        <v/>
      </c>
      <c r="E184" s="19" t="str">
        <f>IFERROR(INDEX(全オプション!E:E,SMALL(全オプション!$F:$F,ROW(E182))),"")</f>
        <v/>
      </c>
      <c r="F184" s="2" t="str">
        <f>IFERROR(INDEX(全オプション!F:F,SMALL(全オプション!$F:$F,ROW(F182))),"")</f>
        <v/>
      </c>
      <c r="H184" s="11" t="str">
        <f>IFERROR(INDEX(全オプション!H:H,SMALL(全オプション!$F:$F,ROW(H182))),"")</f>
        <v/>
      </c>
      <c r="I184" s="11" t="str">
        <f>IFERROR(INDEX(全オプション!I:I,SMALL(全オプション!$F:$F,ROW(I182))),"")</f>
        <v/>
      </c>
      <c r="J184" s="22" t="str">
        <f>IFERROR(INDEX(全オプション!J:J,SMALL(全オプション!$F:$F,ROW(J182))),"")</f>
        <v/>
      </c>
    </row>
    <row r="185" spans="1:10">
      <c r="A185" s="21" t="str">
        <f>IFERROR(INDEX(全オプション!A:A,SMALL(全オプション!$F:$F,ROW(A183))),"")</f>
        <v/>
      </c>
      <c r="B185" s="20" t="str">
        <f>IFERROR(INDEX(全オプション!B:B,SMALL(全オプション!$F:$F,ROW(B183))),"")</f>
        <v/>
      </c>
      <c r="C185" s="9" t="str">
        <f>IFERROR(INDEX(全オプション!C:C,SMALL(全オプション!$F:$F,ROW(C183))),"")</f>
        <v/>
      </c>
      <c r="D185" s="18" t="str">
        <f>IFERROR(INDEX(全オプション!D:D,SMALL(全オプション!$F:$F,ROW(D183))),"")</f>
        <v/>
      </c>
      <c r="E185" s="19" t="str">
        <f>IFERROR(INDEX(全オプション!E:E,SMALL(全オプション!$F:$F,ROW(E183))),"")</f>
        <v/>
      </c>
      <c r="F185" s="2" t="str">
        <f>IFERROR(INDEX(全オプション!F:F,SMALL(全オプション!$F:$F,ROW(F183))),"")</f>
        <v/>
      </c>
      <c r="H185" s="11" t="str">
        <f>IFERROR(INDEX(全オプション!H:H,SMALL(全オプション!$F:$F,ROW(H183))),"")</f>
        <v/>
      </c>
      <c r="I185" s="11" t="str">
        <f>IFERROR(INDEX(全オプション!I:I,SMALL(全オプション!$F:$F,ROW(I183))),"")</f>
        <v/>
      </c>
      <c r="J185" s="22" t="str">
        <f>IFERROR(INDEX(全オプション!J:J,SMALL(全オプション!$F:$F,ROW(J183))),"")</f>
        <v/>
      </c>
    </row>
    <row r="186" spans="1:10">
      <c r="A186" s="21" t="str">
        <f>IFERROR(INDEX(全オプション!A:A,SMALL(全オプション!$F:$F,ROW(A184))),"")</f>
        <v/>
      </c>
      <c r="B186" s="20" t="str">
        <f>IFERROR(INDEX(全オプション!B:B,SMALL(全オプション!$F:$F,ROW(B184))),"")</f>
        <v/>
      </c>
      <c r="C186" s="9" t="str">
        <f>IFERROR(INDEX(全オプション!C:C,SMALL(全オプション!$F:$F,ROW(C184))),"")</f>
        <v/>
      </c>
      <c r="D186" s="18" t="str">
        <f>IFERROR(INDEX(全オプション!D:D,SMALL(全オプション!$F:$F,ROW(D184))),"")</f>
        <v/>
      </c>
      <c r="E186" s="19" t="str">
        <f>IFERROR(INDEX(全オプション!E:E,SMALL(全オプション!$F:$F,ROW(E184))),"")</f>
        <v/>
      </c>
      <c r="F186" s="2" t="str">
        <f>IFERROR(INDEX(全オプション!F:F,SMALL(全オプション!$F:$F,ROW(F184))),"")</f>
        <v/>
      </c>
      <c r="H186" s="11" t="str">
        <f>IFERROR(INDEX(全オプション!H:H,SMALL(全オプション!$F:$F,ROW(H184))),"")</f>
        <v/>
      </c>
      <c r="I186" s="11" t="str">
        <f>IFERROR(INDEX(全オプション!I:I,SMALL(全オプション!$F:$F,ROW(I184))),"")</f>
        <v/>
      </c>
      <c r="J186" s="22" t="str">
        <f>IFERROR(INDEX(全オプション!J:J,SMALL(全オプション!$F:$F,ROW(J184))),"")</f>
        <v/>
      </c>
    </row>
    <row r="187" spans="1:10">
      <c r="A187" s="21" t="str">
        <f>IFERROR(INDEX(全オプション!A:A,SMALL(全オプション!$F:$F,ROW(A185))),"")</f>
        <v/>
      </c>
      <c r="B187" s="20" t="str">
        <f>IFERROR(INDEX(全オプション!B:B,SMALL(全オプション!$F:$F,ROW(B185))),"")</f>
        <v/>
      </c>
      <c r="C187" s="9" t="str">
        <f>IFERROR(INDEX(全オプション!C:C,SMALL(全オプション!$F:$F,ROW(C185))),"")</f>
        <v/>
      </c>
      <c r="D187" s="18" t="str">
        <f>IFERROR(INDEX(全オプション!D:D,SMALL(全オプション!$F:$F,ROW(D185))),"")</f>
        <v/>
      </c>
      <c r="E187" s="19" t="str">
        <f>IFERROR(INDEX(全オプション!E:E,SMALL(全オプション!$F:$F,ROW(E185))),"")</f>
        <v/>
      </c>
      <c r="F187" s="2" t="str">
        <f>IFERROR(INDEX(全オプション!F:F,SMALL(全オプション!$F:$F,ROW(F185))),"")</f>
        <v/>
      </c>
      <c r="H187" s="11" t="str">
        <f>IFERROR(INDEX(全オプション!H:H,SMALL(全オプション!$F:$F,ROW(H185))),"")</f>
        <v/>
      </c>
      <c r="I187" s="11" t="str">
        <f>IFERROR(INDEX(全オプション!I:I,SMALL(全オプション!$F:$F,ROW(I185))),"")</f>
        <v/>
      </c>
      <c r="J187" s="22" t="str">
        <f>IFERROR(INDEX(全オプション!J:J,SMALL(全オプション!$F:$F,ROW(J185))),"")</f>
        <v/>
      </c>
    </row>
    <row r="188" spans="1:10">
      <c r="A188" s="21" t="str">
        <f>IFERROR(INDEX(全オプション!A:A,SMALL(全オプション!$F:$F,ROW(A186))),"")</f>
        <v/>
      </c>
      <c r="B188" s="20" t="str">
        <f>IFERROR(INDEX(全オプション!B:B,SMALL(全オプション!$F:$F,ROW(B186))),"")</f>
        <v/>
      </c>
      <c r="C188" s="9" t="str">
        <f>IFERROR(INDEX(全オプション!C:C,SMALL(全オプション!$F:$F,ROW(C186))),"")</f>
        <v/>
      </c>
      <c r="D188" s="18" t="str">
        <f>IFERROR(INDEX(全オプション!D:D,SMALL(全オプション!$F:$F,ROW(D186))),"")</f>
        <v/>
      </c>
      <c r="E188" s="19" t="str">
        <f>IFERROR(INDEX(全オプション!E:E,SMALL(全オプション!$F:$F,ROW(E186))),"")</f>
        <v/>
      </c>
      <c r="F188" s="2" t="str">
        <f>IFERROR(INDEX(全オプション!F:F,SMALL(全オプション!$F:$F,ROW(F186))),"")</f>
        <v/>
      </c>
      <c r="H188" s="11" t="str">
        <f>IFERROR(INDEX(全オプション!H:H,SMALL(全オプション!$F:$F,ROW(H186))),"")</f>
        <v/>
      </c>
      <c r="I188" s="11" t="str">
        <f>IFERROR(INDEX(全オプション!I:I,SMALL(全オプション!$F:$F,ROW(I186))),"")</f>
        <v/>
      </c>
      <c r="J188" s="22" t="str">
        <f>IFERROR(INDEX(全オプション!J:J,SMALL(全オプション!$F:$F,ROW(J186))),"")</f>
        <v/>
      </c>
    </row>
    <row r="189" spans="1:10">
      <c r="A189" s="21" t="str">
        <f>IFERROR(INDEX(全オプション!A:A,SMALL(全オプション!$F:$F,ROW(A187))),"")</f>
        <v/>
      </c>
      <c r="B189" s="20" t="str">
        <f>IFERROR(INDEX(全オプション!B:B,SMALL(全オプション!$F:$F,ROW(B187))),"")</f>
        <v/>
      </c>
      <c r="C189" s="9" t="str">
        <f>IFERROR(INDEX(全オプション!C:C,SMALL(全オプション!$F:$F,ROW(C187))),"")</f>
        <v/>
      </c>
      <c r="D189" s="18" t="str">
        <f>IFERROR(INDEX(全オプション!D:D,SMALL(全オプション!$F:$F,ROW(D187))),"")</f>
        <v/>
      </c>
      <c r="E189" s="19" t="str">
        <f>IFERROR(INDEX(全オプション!E:E,SMALL(全オプション!$F:$F,ROW(E187))),"")</f>
        <v/>
      </c>
      <c r="F189" s="2" t="str">
        <f>IFERROR(INDEX(全オプション!F:F,SMALL(全オプション!$F:$F,ROW(F187))),"")</f>
        <v/>
      </c>
      <c r="H189" s="11" t="str">
        <f>IFERROR(INDEX(全オプション!H:H,SMALL(全オプション!$F:$F,ROW(H187))),"")</f>
        <v/>
      </c>
      <c r="I189" s="11" t="str">
        <f>IFERROR(INDEX(全オプション!I:I,SMALL(全オプション!$F:$F,ROW(I187))),"")</f>
        <v/>
      </c>
      <c r="J189" s="22" t="str">
        <f>IFERROR(INDEX(全オプション!J:J,SMALL(全オプション!$F:$F,ROW(J187))),"")</f>
        <v/>
      </c>
    </row>
    <row r="190" spans="1:10">
      <c r="A190" s="21" t="str">
        <f>IFERROR(INDEX(全オプション!A:A,SMALL(全オプション!$F:$F,ROW(A188))),"")</f>
        <v/>
      </c>
      <c r="B190" s="20" t="str">
        <f>IFERROR(INDEX(全オプション!B:B,SMALL(全オプション!$F:$F,ROW(B188))),"")</f>
        <v/>
      </c>
      <c r="C190" s="9" t="str">
        <f>IFERROR(INDEX(全オプション!C:C,SMALL(全オプション!$F:$F,ROW(C188))),"")</f>
        <v/>
      </c>
      <c r="D190" s="18" t="str">
        <f>IFERROR(INDEX(全オプション!D:D,SMALL(全オプション!$F:$F,ROW(D188))),"")</f>
        <v/>
      </c>
      <c r="E190" s="19" t="str">
        <f>IFERROR(INDEX(全オプション!E:E,SMALL(全オプション!$F:$F,ROW(E188))),"")</f>
        <v/>
      </c>
      <c r="F190" s="2" t="str">
        <f>IFERROR(INDEX(全オプション!F:F,SMALL(全オプション!$F:$F,ROW(F188))),"")</f>
        <v/>
      </c>
      <c r="H190" s="11" t="str">
        <f>IFERROR(INDEX(全オプション!H:H,SMALL(全オプション!$F:$F,ROW(H188))),"")</f>
        <v/>
      </c>
      <c r="I190" s="11" t="str">
        <f>IFERROR(INDEX(全オプション!I:I,SMALL(全オプション!$F:$F,ROW(I188))),"")</f>
        <v/>
      </c>
      <c r="J190" s="22" t="str">
        <f>IFERROR(INDEX(全オプション!J:J,SMALL(全オプション!$F:$F,ROW(J188))),"")</f>
        <v/>
      </c>
    </row>
    <row r="191" spans="1:10">
      <c r="A191" s="21" t="str">
        <f>IFERROR(INDEX(全オプション!A:A,SMALL(全オプション!$F:$F,ROW(A189))),"")</f>
        <v/>
      </c>
      <c r="B191" s="20" t="str">
        <f>IFERROR(INDEX(全オプション!B:B,SMALL(全オプション!$F:$F,ROW(B189))),"")</f>
        <v/>
      </c>
      <c r="C191" s="9" t="str">
        <f>IFERROR(INDEX(全オプション!C:C,SMALL(全オプション!$F:$F,ROW(C189))),"")</f>
        <v/>
      </c>
      <c r="D191" s="18" t="str">
        <f>IFERROR(INDEX(全オプション!D:D,SMALL(全オプション!$F:$F,ROW(D189))),"")</f>
        <v/>
      </c>
      <c r="E191" s="19" t="str">
        <f>IFERROR(INDEX(全オプション!E:E,SMALL(全オプション!$F:$F,ROW(E189))),"")</f>
        <v/>
      </c>
      <c r="F191" s="2" t="str">
        <f>IFERROR(INDEX(全オプション!F:F,SMALL(全オプション!$F:$F,ROW(F189))),"")</f>
        <v/>
      </c>
      <c r="H191" s="11" t="str">
        <f>IFERROR(INDEX(全オプション!H:H,SMALL(全オプション!$F:$F,ROW(H189))),"")</f>
        <v/>
      </c>
      <c r="I191" s="11" t="str">
        <f>IFERROR(INDEX(全オプション!I:I,SMALL(全オプション!$F:$F,ROW(I189))),"")</f>
        <v/>
      </c>
      <c r="J191" s="22" t="str">
        <f>IFERROR(INDEX(全オプション!J:J,SMALL(全オプション!$F:$F,ROW(J189))),"")</f>
        <v/>
      </c>
    </row>
    <row r="192" spans="1:10">
      <c r="A192" s="21" t="str">
        <f>IFERROR(INDEX(全オプション!A:A,SMALL(全オプション!$F:$F,ROW(A190))),"")</f>
        <v/>
      </c>
      <c r="B192" s="20" t="str">
        <f>IFERROR(INDEX(全オプション!B:B,SMALL(全オプション!$F:$F,ROW(B190))),"")</f>
        <v/>
      </c>
      <c r="C192" s="9" t="str">
        <f>IFERROR(INDEX(全オプション!C:C,SMALL(全オプション!$F:$F,ROW(C190))),"")</f>
        <v/>
      </c>
      <c r="D192" s="18" t="str">
        <f>IFERROR(INDEX(全オプション!D:D,SMALL(全オプション!$F:$F,ROW(D190))),"")</f>
        <v/>
      </c>
      <c r="E192" s="19" t="str">
        <f>IFERROR(INDEX(全オプション!E:E,SMALL(全オプション!$F:$F,ROW(E190))),"")</f>
        <v/>
      </c>
      <c r="F192" s="2" t="str">
        <f>IFERROR(INDEX(全オプション!F:F,SMALL(全オプション!$F:$F,ROW(F190))),"")</f>
        <v/>
      </c>
      <c r="H192" s="11" t="str">
        <f>IFERROR(INDEX(全オプション!H:H,SMALL(全オプション!$F:$F,ROW(H190))),"")</f>
        <v/>
      </c>
      <c r="I192" s="11" t="str">
        <f>IFERROR(INDEX(全オプション!I:I,SMALL(全オプション!$F:$F,ROW(I190))),"")</f>
        <v/>
      </c>
      <c r="J192" s="22" t="str">
        <f>IFERROR(INDEX(全オプション!J:J,SMALL(全オプション!$F:$F,ROW(J190))),"")</f>
        <v/>
      </c>
    </row>
    <row r="193" spans="1:10">
      <c r="A193" s="21" t="str">
        <f>IFERROR(INDEX(全オプション!A:A,SMALL(全オプション!$F:$F,ROW(A191))),"")</f>
        <v/>
      </c>
      <c r="B193" s="20" t="str">
        <f>IFERROR(INDEX(全オプション!B:B,SMALL(全オプション!$F:$F,ROW(B191))),"")</f>
        <v/>
      </c>
      <c r="C193" s="9" t="str">
        <f>IFERROR(INDEX(全オプション!C:C,SMALL(全オプション!$F:$F,ROW(C191))),"")</f>
        <v/>
      </c>
      <c r="D193" s="18" t="str">
        <f>IFERROR(INDEX(全オプション!D:D,SMALL(全オプション!$F:$F,ROW(D191))),"")</f>
        <v/>
      </c>
      <c r="E193" s="19" t="str">
        <f>IFERROR(INDEX(全オプション!E:E,SMALL(全オプション!$F:$F,ROW(E191))),"")</f>
        <v/>
      </c>
      <c r="F193" s="2" t="str">
        <f>IFERROR(INDEX(全オプション!F:F,SMALL(全オプション!$F:$F,ROW(F191))),"")</f>
        <v/>
      </c>
      <c r="H193" s="11" t="str">
        <f>IFERROR(INDEX(全オプション!H:H,SMALL(全オプション!$F:$F,ROW(H191))),"")</f>
        <v/>
      </c>
      <c r="I193" s="11" t="str">
        <f>IFERROR(INDEX(全オプション!I:I,SMALL(全オプション!$F:$F,ROW(I191))),"")</f>
        <v/>
      </c>
      <c r="J193" s="22" t="str">
        <f>IFERROR(INDEX(全オプション!J:J,SMALL(全オプション!$F:$F,ROW(J191))),"")</f>
        <v/>
      </c>
    </row>
    <row r="194" spans="1:10">
      <c r="A194" s="21" t="str">
        <f>IFERROR(INDEX(全オプション!A:A,SMALL(全オプション!$F:$F,ROW(A192))),"")</f>
        <v/>
      </c>
      <c r="B194" s="20" t="str">
        <f>IFERROR(INDEX(全オプション!B:B,SMALL(全オプション!$F:$F,ROW(B192))),"")</f>
        <v/>
      </c>
      <c r="C194" s="9" t="str">
        <f>IFERROR(INDEX(全オプション!C:C,SMALL(全オプション!$F:$F,ROW(C192))),"")</f>
        <v/>
      </c>
      <c r="D194" s="18" t="str">
        <f>IFERROR(INDEX(全オプション!D:D,SMALL(全オプション!$F:$F,ROW(D192))),"")</f>
        <v/>
      </c>
      <c r="E194" s="19" t="str">
        <f>IFERROR(INDEX(全オプション!E:E,SMALL(全オプション!$F:$F,ROW(E192))),"")</f>
        <v/>
      </c>
      <c r="F194" s="2" t="str">
        <f>IFERROR(INDEX(全オプション!F:F,SMALL(全オプション!$F:$F,ROW(F192))),"")</f>
        <v/>
      </c>
      <c r="H194" s="11" t="str">
        <f>IFERROR(INDEX(全オプション!H:H,SMALL(全オプション!$F:$F,ROW(H192))),"")</f>
        <v/>
      </c>
      <c r="I194" s="11" t="str">
        <f>IFERROR(INDEX(全オプション!I:I,SMALL(全オプション!$F:$F,ROW(I192))),"")</f>
        <v/>
      </c>
      <c r="J194" s="22" t="str">
        <f>IFERROR(INDEX(全オプション!J:J,SMALL(全オプション!$F:$F,ROW(J192))),"")</f>
        <v/>
      </c>
    </row>
    <row r="195" spans="1:10">
      <c r="A195" s="21" t="str">
        <f>IFERROR(INDEX(全オプション!A:A,SMALL(全オプション!$F:$F,ROW(A193))),"")</f>
        <v/>
      </c>
      <c r="B195" s="20" t="str">
        <f>IFERROR(INDEX(全オプション!B:B,SMALL(全オプション!$F:$F,ROW(B193))),"")</f>
        <v/>
      </c>
      <c r="C195" s="9" t="str">
        <f>IFERROR(INDEX(全オプション!C:C,SMALL(全オプション!$F:$F,ROW(C193))),"")</f>
        <v/>
      </c>
      <c r="D195" s="18" t="str">
        <f>IFERROR(INDEX(全オプション!D:D,SMALL(全オプション!$F:$F,ROW(D193))),"")</f>
        <v/>
      </c>
      <c r="E195" s="19" t="str">
        <f>IFERROR(INDEX(全オプション!E:E,SMALL(全オプション!$F:$F,ROW(E193))),"")</f>
        <v/>
      </c>
      <c r="F195" s="2" t="str">
        <f>IFERROR(INDEX(全オプション!F:F,SMALL(全オプション!$F:$F,ROW(F193))),"")</f>
        <v/>
      </c>
      <c r="H195" s="11" t="str">
        <f>IFERROR(INDEX(全オプション!H:H,SMALL(全オプション!$F:$F,ROW(H193))),"")</f>
        <v/>
      </c>
      <c r="I195" s="11" t="str">
        <f>IFERROR(INDEX(全オプション!I:I,SMALL(全オプション!$F:$F,ROW(I193))),"")</f>
        <v/>
      </c>
      <c r="J195" s="22" t="str">
        <f>IFERROR(INDEX(全オプション!J:J,SMALL(全オプション!$F:$F,ROW(J193))),"")</f>
        <v/>
      </c>
    </row>
    <row r="196" spans="1:10">
      <c r="A196" s="21" t="str">
        <f>IFERROR(INDEX(全オプション!A:A,SMALL(全オプション!$F:$F,ROW(A194))),"")</f>
        <v/>
      </c>
      <c r="B196" s="20" t="str">
        <f>IFERROR(INDEX(全オプション!B:B,SMALL(全オプション!$F:$F,ROW(B194))),"")</f>
        <v/>
      </c>
      <c r="C196" s="9" t="str">
        <f>IFERROR(INDEX(全オプション!C:C,SMALL(全オプション!$F:$F,ROW(C194))),"")</f>
        <v/>
      </c>
      <c r="D196" s="18" t="str">
        <f>IFERROR(INDEX(全オプション!D:D,SMALL(全オプション!$F:$F,ROW(D194))),"")</f>
        <v/>
      </c>
      <c r="E196" s="19" t="str">
        <f>IFERROR(INDEX(全オプション!E:E,SMALL(全オプション!$F:$F,ROW(E194))),"")</f>
        <v/>
      </c>
      <c r="F196" s="2" t="str">
        <f>IFERROR(INDEX(全オプション!F:F,SMALL(全オプション!$F:$F,ROW(F194))),"")</f>
        <v/>
      </c>
      <c r="H196" s="11" t="str">
        <f>IFERROR(INDEX(全オプション!H:H,SMALL(全オプション!$F:$F,ROW(H194))),"")</f>
        <v/>
      </c>
      <c r="I196" s="11" t="str">
        <f>IFERROR(INDEX(全オプション!I:I,SMALL(全オプション!$F:$F,ROW(I194))),"")</f>
        <v/>
      </c>
      <c r="J196" s="22" t="str">
        <f>IFERROR(INDEX(全オプション!J:J,SMALL(全オプション!$F:$F,ROW(J194))),"")</f>
        <v/>
      </c>
    </row>
    <row r="197" spans="1:10">
      <c r="A197" s="21" t="str">
        <f>IFERROR(INDEX(全オプション!A:A,SMALL(全オプション!$F:$F,ROW(A195))),"")</f>
        <v/>
      </c>
      <c r="B197" s="20" t="str">
        <f>IFERROR(INDEX(全オプション!B:B,SMALL(全オプション!$F:$F,ROW(B195))),"")</f>
        <v/>
      </c>
      <c r="C197" s="9" t="str">
        <f>IFERROR(INDEX(全オプション!C:C,SMALL(全オプション!$F:$F,ROW(C195))),"")</f>
        <v/>
      </c>
      <c r="D197" s="18" t="str">
        <f>IFERROR(INDEX(全オプション!D:D,SMALL(全オプション!$F:$F,ROW(D195))),"")</f>
        <v/>
      </c>
      <c r="E197" s="19" t="str">
        <f>IFERROR(INDEX(全オプション!E:E,SMALL(全オプション!$F:$F,ROW(E195))),"")</f>
        <v/>
      </c>
      <c r="F197" s="2" t="str">
        <f>IFERROR(INDEX(全オプション!F:F,SMALL(全オプション!$F:$F,ROW(F195))),"")</f>
        <v/>
      </c>
      <c r="H197" s="11" t="str">
        <f>IFERROR(INDEX(全オプション!H:H,SMALL(全オプション!$F:$F,ROW(H195))),"")</f>
        <v/>
      </c>
      <c r="I197" s="11" t="str">
        <f>IFERROR(INDEX(全オプション!I:I,SMALL(全オプション!$F:$F,ROW(I195))),"")</f>
        <v/>
      </c>
      <c r="J197" s="22" t="str">
        <f>IFERROR(INDEX(全オプション!J:J,SMALL(全オプション!$F:$F,ROW(J195))),"")</f>
        <v/>
      </c>
    </row>
    <row r="198" spans="1:10">
      <c r="A198" s="21" t="str">
        <f>IFERROR(INDEX(全オプション!A:A,SMALL(全オプション!$F:$F,ROW(A196))),"")</f>
        <v/>
      </c>
      <c r="B198" s="20" t="str">
        <f>IFERROR(INDEX(全オプション!B:B,SMALL(全オプション!$F:$F,ROW(B196))),"")</f>
        <v/>
      </c>
      <c r="C198" s="9" t="str">
        <f>IFERROR(INDEX(全オプション!C:C,SMALL(全オプション!$F:$F,ROW(C196))),"")</f>
        <v/>
      </c>
      <c r="D198" s="18" t="str">
        <f>IFERROR(INDEX(全オプション!D:D,SMALL(全オプション!$F:$F,ROW(D196))),"")</f>
        <v/>
      </c>
      <c r="E198" s="19" t="str">
        <f>IFERROR(INDEX(全オプション!E:E,SMALL(全オプション!$F:$F,ROW(E196))),"")</f>
        <v/>
      </c>
      <c r="F198" s="2" t="str">
        <f>IFERROR(INDEX(全オプション!F:F,SMALL(全オプション!$F:$F,ROW(F196))),"")</f>
        <v/>
      </c>
      <c r="H198" s="11" t="str">
        <f>IFERROR(INDEX(全オプション!H:H,SMALL(全オプション!$F:$F,ROW(H196))),"")</f>
        <v/>
      </c>
      <c r="I198" s="11" t="str">
        <f>IFERROR(INDEX(全オプション!I:I,SMALL(全オプション!$F:$F,ROW(I196))),"")</f>
        <v/>
      </c>
      <c r="J198" s="22" t="str">
        <f>IFERROR(INDEX(全オプション!J:J,SMALL(全オプション!$F:$F,ROW(J196))),"")</f>
        <v/>
      </c>
    </row>
    <row r="199" spans="1:10">
      <c r="A199" s="21" t="str">
        <f>IFERROR(INDEX(全オプション!A:A,SMALL(全オプション!$F:$F,ROW(A197))),"")</f>
        <v/>
      </c>
      <c r="B199" s="20" t="str">
        <f>IFERROR(INDEX(全オプション!B:B,SMALL(全オプション!$F:$F,ROW(B197))),"")</f>
        <v/>
      </c>
      <c r="C199" s="9" t="str">
        <f>IFERROR(INDEX(全オプション!C:C,SMALL(全オプション!$F:$F,ROW(C197))),"")</f>
        <v/>
      </c>
      <c r="D199" s="18" t="str">
        <f>IFERROR(INDEX(全オプション!D:D,SMALL(全オプション!$F:$F,ROW(D197))),"")</f>
        <v/>
      </c>
      <c r="E199" s="19" t="str">
        <f>IFERROR(INDEX(全オプション!E:E,SMALL(全オプション!$F:$F,ROW(E197))),"")</f>
        <v/>
      </c>
      <c r="F199" s="2" t="str">
        <f>IFERROR(INDEX(全オプション!F:F,SMALL(全オプション!$F:$F,ROW(F197))),"")</f>
        <v/>
      </c>
      <c r="H199" s="11" t="str">
        <f>IFERROR(INDEX(全オプション!H:H,SMALL(全オプション!$F:$F,ROW(H197))),"")</f>
        <v/>
      </c>
      <c r="I199" s="11" t="str">
        <f>IFERROR(INDEX(全オプション!I:I,SMALL(全オプション!$F:$F,ROW(I197))),"")</f>
        <v/>
      </c>
      <c r="J199" s="22" t="str">
        <f>IFERROR(INDEX(全オプション!J:J,SMALL(全オプション!$F:$F,ROW(J197))),"")</f>
        <v/>
      </c>
    </row>
    <row r="200" spans="1:10">
      <c r="A200" s="21" t="str">
        <f>IFERROR(INDEX(全オプション!A:A,SMALL(全オプション!$F:$F,ROW(A198))),"")</f>
        <v/>
      </c>
      <c r="B200" s="20" t="str">
        <f>IFERROR(INDEX(全オプション!B:B,SMALL(全オプション!$F:$F,ROW(B198))),"")</f>
        <v/>
      </c>
      <c r="C200" s="9" t="str">
        <f>IFERROR(INDEX(全オプション!C:C,SMALL(全オプション!$F:$F,ROW(C198))),"")</f>
        <v/>
      </c>
      <c r="D200" s="18" t="str">
        <f>IFERROR(INDEX(全オプション!D:D,SMALL(全オプション!$F:$F,ROW(D198))),"")</f>
        <v/>
      </c>
      <c r="E200" s="19" t="str">
        <f>IFERROR(INDEX(全オプション!E:E,SMALL(全オプション!$F:$F,ROW(E198))),"")</f>
        <v/>
      </c>
      <c r="F200" s="2" t="str">
        <f>IFERROR(INDEX(全オプション!F:F,SMALL(全オプション!$F:$F,ROW(F198))),"")</f>
        <v/>
      </c>
      <c r="H200" s="11" t="str">
        <f>IFERROR(INDEX(全オプション!H:H,SMALL(全オプション!$F:$F,ROW(H198))),"")</f>
        <v/>
      </c>
      <c r="I200" s="11" t="str">
        <f>IFERROR(INDEX(全オプション!I:I,SMALL(全オプション!$F:$F,ROW(I198))),"")</f>
        <v/>
      </c>
      <c r="J200" s="22" t="str">
        <f>IFERROR(INDEX(全オプション!J:J,SMALL(全オプション!$F:$F,ROW(J198))),"")</f>
        <v/>
      </c>
    </row>
    <row r="201" spans="1:10">
      <c r="A201" s="21" t="str">
        <f>IFERROR(INDEX(全オプション!A:A,SMALL(全オプション!$F:$F,ROW(A199))),"")</f>
        <v/>
      </c>
      <c r="B201" s="20" t="str">
        <f>IFERROR(INDEX(全オプション!B:B,SMALL(全オプション!$F:$F,ROW(B199))),"")</f>
        <v/>
      </c>
      <c r="C201" s="9" t="str">
        <f>IFERROR(INDEX(全オプション!C:C,SMALL(全オプション!$F:$F,ROW(C199))),"")</f>
        <v/>
      </c>
      <c r="D201" s="18" t="str">
        <f>IFERROR(INDEX(全オプション!D:D,SMALL(全オプション!$F:$F,ROW(D199))),"")</f>
        <v/>
      </c>
      <c r="E201" s="19" t="str">
        <f>IFERROR(INDEX(全オプション!E:E,SMALL(全オプション!$F:$F,ROW(E199))),"")</f>
        <v/>
      </c>
      <c r="F201" s="2" t="str">
        <f>IFERROR(INDEX(全オプション!F:F,SMALL(全オプション!$F:$F,ROW(F199))),"")</f>
        <v/>
      </c>
      <c r="H201" s="11" t="str">
        <f>IFERROR(INDEX(全オプション!H:H,SMALL(全オプション!$F:$F,ROW(H199))),"")</f>
        <v/>
      </c>
      <c r="I201" s="11" t="str">
        <f>IFERROR(INDEX(全オプション!I:I,SMALL(全オプション!$F:$F,ROW(I199))),"")</f>
        <v/>
      </c>
      <c r="J201" s="22" t="str">
        <f>IFERROR(INDEX(全オプション!J:J,SMALL(全オプション!$F:$F,ROW(J199))),"")</f>
        <v/>
      </c>
    </row>
    <row r="202" spans="1:10">
      <c r="A202" s="21" t="str">
        <f>IFERROR(INDEX(全オプション!A:A,SMALL(全オプション!$F:$F,ROW(A200))),"")</f>
        <v/>
      </c>
      <c r="B202" s="20" t="str">
        <f>IFERROR(INDEX(全オプション!B:B,SMALL(全オプション!$F:$F,ROW(B200))),"")</f>
        <v/>
      </c>
      <c r="C202" s="9" t="str">
        <f>IFERROR(INDEX(全オプション!C:C,SMALL(全オプション!$F:$F,ROW(C200))),"")</f>
        <v/>
      </c>
      <c r="D202" s="18" t="str">
        <f>IFERROR(INDEX(全オプション!D:D,SMALL(全オプション!$F:$F,ROW(D200))),"")</f>
        <v/>
      </c>
      <c r="E202" s="19" t="str">
        <f>IFERROR(INDEX(全オプション!E:E,SMALL(全オプション!$F:$F,ROW(E200))),"")</f>
        <v/>
      </c>
      <c r="F202" s="2" t="str">
        <f>IFERROR(INDEX(全オプション!F:F,SMALL(全オプション!$F:$F,ROW(F200))),"")</f>
        <v/>
      </c>
      <c r="H202" s="11" t="str">
        <f>IFERROR(INDEX(全オプション!H:H,SMALL(全オプション!$F:$F,ROW(H200))),"")</f>
        <v/>
      </c>
      <c r="I202" s="11" t="str">
        <f>IFERROR(INDEX(全オプション!I:I,SMALL(全オプション!$F:$F,ROW(I200))),"")</f>
        <v/>
      </c>
      <c r="J202" s="22" t="str">
        <f>IFERROR(INDEX(全オプション!J:J,SMALL(全オプション!$F:$F,ROW(J200))),"")</f>
        <v/>
      </c>
    </row>
    <row r="203" spans="1:10">
      <c r="A203" s="21" t="str">
        <f>IFERROR(INDEX(全オプション!A:A,SMALL(全オプション!$F:$F,ROW(A201))),"")</f>
        <v/>
      </c>
      <c r="B203" s="20" t="str">
        <f>IFERROR(INDEX(全オプション!B:B,SMALL(全オプション!$F:$F,ROW(B201))),"")</f>
        <v/>
      </c>
      <c r="C203" s="9" t="str">
        <f>IFERROR(INDEX(全オプション!C:C,SMALL(全オプション!$F:$F,ROW(C201))),"")</f>
        <v/>
      </c>
      <c r="D203" s="18" t="str">
        <f>IFERROR(INDEX(全オプション!D:D,SMALL(全オプション!$F:$F,ROW(D201))),"")</f>
        <v/>
      </c>
      <c r="E203" s="19" t="str">
        <f>IFERROR(INDEX(全オプション!E:E,SMALL(全オプション!$F:$F,ROW(E201))),"")</f>
        <v/>
      </c>
      <c r="F203" s="2" t="str">
        <f>IFERROR(INDEX(全オプション!F:F,SMALL(全オプション!$F:$F,ROW(F201))),"")</f>
        <v/>
      </c>
      <c r="H203" s="11" t="str">
        <f>IFERROR(INDEX(全オプション!H:H,SMALL(全オプション!$F:$F,ROW(H201))),"")</f>
        <v/>
      </c>
      <c r="I203" s="11" t="str">
        <f>IFERROR(INDEX(全オプション!I:I,SMALL(全オプション!$F:$F,ROW(I201))),"")</f>
        <v/>
      </c>
      <c r="J203" s="22" t="str">
        <f>IFERROR(INDEX(全オプション!J:J,SMALL(全オプション!$F:$F,ROW(J201))),"")</f>
        <v/>
      </c>
    </row>
    <row r="204" spans="1:10">
      <c r="A204" s="21" t="str">
        <f>IFERROR(INDEX(全オプション!A:A,SMALL(全オプション!$F:$F,ROW(A202))),"")</f>
        <v/>
      </c>
      <c r="B204" s="20" t="str">
        <f>IFERROR(INDEX(全オプション!B:B,SMALL(全オプション!$F:$F,ROW(B202))),"")</f>
        <v/>
      </c>
      <c r="C204" s="9" t="str">
        <f>IFERROR(INDEX(全オプション!C:C,SMALL(全オプション!$F:$F,ROW(C202))),"")</f>
        <v/>
      </c>
      <c r="D204" s="18" t="str">
        <f>IFERROR(INDEX(全オプション!D:D,SMALL(全オプション!$F:$F,ROW(D202))),"")</f>
        <v/>
      </c>
      <c r="E204" s="19" t="str">
        <f>IFERROR(INDEX(全オプション!E:E,SMALL(全オプション!$F:$F,ROW(E202))),"")</f>
        <v/>
      </c>
      <c r="F204" s="2" t="str">
        <f>IFERROR(INDEX(全オプション!F:F,SMALL(全オプション!$F:$F,ROW(F202))),"")</f>
        <v/>
      </c>
      <c r="H204" s="11" t="str">
        <f>IFERROR(INDEX(全オプション!H:H,SMALL(全オプション!$F:$F,ROW(H202))),"")</f>
        <v/>
      </c>
      <c r="I204" s="11" t="str">
        <f>IFERROR(INDEX(全オプション!I:I,SMALL(全オプション!$F:$F,ROW(I202))),"")</f>
        <v/>
      </c>
      <c r="J204" s="22" t="str">
        <f>IFERROR(INDEX(全オプション!J:J,SMALL(全オプション!$F:$F,ROW(J202))),"")</f>
        <v/>
      </c>
    </row>
    <row r="205" spans="1:10">
      <c r="A205" s="21" t="str">
        <f>IFERROR(INDEX(全オプション!A:A,SMALL(全オプション!$F:$F,ROW(A203))),"")</f>
        <v/>
      </c>
      <c r="B205" s="20" t="str">
        <f>IFERROR(INDEX(全オプション!B:B,SMALL(全オプション!$F:$F,ROW(B203))),"")</f>
        <v/>
      </c>
      <c r="C205" s="9" t="str">
        <f>IFERROR(INDEX(全オプション!C:C,SMALL(全オプション!$F:$F,ROW(C203))),"")</f>
        <v/>
      </c>
      <c r="D205" s="18" t="str">
        <f>IFERROR(INDEX(全オプション!D:D,SMALL(全オプション!$F:$F,ROW(D203))),"")</f>
        <v/>
      </c>
      <c r="E205" s="19" t="str">
        <f>IFERROR(INDEX(全オプション!E:E,SMALL(全オプション!$F:$F,ROW(E203))),"")</f>
        <v/>
      </c>
      <c r="F205" s="2" t="str">
        <f>IFERROR(INDEX(全オプション!F:F,SMALL(全オプション!$F:$F,ROW(F203))),"")</f>
        <v/>
      </c>
      <c r="H205" s="11" t="str">
        <f>IFERROR(INDEX(全オプション!H:H,SMALL(全オプション!$F:$F,ROW(H203))),"")</f>
        <v/>
      </c>
      <c r="I205" s="11" t="str">
        <f>IFERROR(INDEX(全オプション!I:I,SMALL(全オプション!$F:$F,ROW(I203))),"")</f>
        <v/>
      </c>
      <c r="J205" s="22" t="str">
        <f>IFERROR(INDEX(全オプション!J:J,SMALL(全オプション!$F:$F,ROW(J203))),"")</f>
        <v/>
      </c>
    </row>
    <row r="206" spans="1:10">
      <c r="A206" s="21" t="str">
        <f>IFERROR(INDEX(全オプション!A:A,SMALL(全オプション!$F:$F,ROW(A204))),"")</f>
        <v/>
      </c>
      <c r="B206" s="20" t="str">
        <f>IFERROR(INDEX(全オプション!B:B,SMALL(全オプション!$F:$F,ROW(B204))),"")</f>
        <v/>
      </c>
      <c r="C206" s="9" t="str">
        <f>IFERROR(INDEX(全オプション!C:C,SMALL(全オプション!$F:$F,ROW(C204))),"")</f>
        <v/>
      </c>
      <c r="D206" s="18" t="str">
        <f>IFERROR(INDEX(全オプション!D:D,SMALL(全オプション!$F:$F,ROW(D204))),"")</f>
        <v/>
      </c>
      <c r="E206" s="19" t="str">
        <f>IFERROR(INDEX(全オプション!E:E,SMALL(全オプション!$F:$F,ROW(E204))),"")</f>
        <v/>
      </c>
      <c r="F206" s="2" t="str">
        <f>IFERROR(INDEX(全オプション!F:F,SMALL(全オプション!$F:$F,ROW(F204))),"")</f>
        <v/>
      </c>
      <c r="H206" s="11" t="str">
        <f>IFERROR(INDEX(全オプション!H:H,SMALL(全オプション!$F:$F,ROW(H204))),"")</f>
        <v/>
      </c>
      <c r="I206" s="11" t="str">
        <f>IFERROR(INDEX(全オプション!I:I,SMALL(全オプション!$F:$F,ROW(I204))),"")</f>
        <v/>
      </c>
      <c r="J206" s="22" t="str">
        <f>IFERROR(INDEX(全オプション!J:J,SMALL(全オプション!$F:$F,ROW(J204))),"")</f>
        <v/>
      </c>
    </row>
    <row r="207" spans="1:10">
      <c r="A207" s="21" t="str">
        <f>IFERROR(INDEX(全オプション!A:A,SMALL(全オプション!$F:$F,ROW(A205))),"")</f>
        <v/>
      </c>
      <c r="B207" s="20" t="str">
        <f>IFERROR(INDEX(全オプション!B:B,SMALL(全オプション!$F:$F,ROW(B205))),"")</f>
        <v/>
      </c>
      <c r="C207" s="9" t="str">
        <f>IFERROR(INDEX(全オプション!C:C,SMALL(全オプション!$F:$F,ROW(C205))),"")</f>
        <v/>
      </c>
      <c r="D207" s="18" t="str">
        <f>IFERROR(INDEX(全オプション!D:D,SMALL(全オプション!$F:$F,ROW(D205))),"")</f>
        <v/>
      </c>
      <c r="E207" s="19" t="str">
        <f>IFERROR(INDEX(全オプション!E:E,SMALL(全オプション!$F:$F,ROW(E205))),"")</f>
        <v/>
      </c>
      <c r="F207" s="2" t="str">
        <f>IFERROR(INDEX(全オプション!F:F,SMALL(全オプション!$F:$F,ROW(F205))),"")</f>
        <v/>
      </c>
      <c r="H207" s="11" t="str">
        <f>IFERROR(INDEX(全オプション!H:H,SMALL(全オプション!$F:$F,ROW(H205))),"")</f>
        <v/>
      </c>
      <c r="I207" s="11" t="str">
        <f>IFERROR(INDEX(全オプション!I:I,SMALL(全オプション!$F:$F,ROW(I205))),"")</f>
        <v/>
      </c>
      <c r="J207" s="22" t="str">
        <f>IFERROR(INDEX(全オプション!J:J,SMALL(全オプション!$F:$F,ROW(J205))),"")</f>
        <v/>
      </c>
    </row>
    <row r="208" spans="1:10">
      <c r="A208" s="21" t="str">
        <f>IFERROR(INDEX(全オプション!A:A,SMALL(全オプション!$F:$F,ROW(A206))),"")</f>
        <v/>
      </c>
      <c r="B208" s="20" t="str">
        <f>IFERROR(INDEX(全オプション!B:B,SMALL(全オプション!$F:$F,ROW(B206))),"")</f>
        <v/>
      </c>
      <c r="C208" s="9" t="str">
        <f>IFERROR(INDEX(全オプション!C:C,SMALL(全オプション!$F:$F,ROW(C206))),"")</f>
        <v/>
      </c>
      <c r="D208" s="18" t="str">
        <f>IFERROR(INDEX(全オプション!D:D,SMALL(全オプション!$F:$F,ROW(D206))),"")</f>
        <v/>
      </c>
      <c r="E208" s="19" t="str">
        <f>IFERROR(INDEX(全オプション!E:E,SMALL(全オプション!$F:$F,ROW(E206))),"")</f>
        <v/>
      </c>
      <c r="F208" s="2" t="str">
        <f>IFERROR(INDEX(全オプション!F:F,SMALL(全オプション!$F:$F,ROW(F206))),"")</f>
        <v/>
      </c>
      <c r="H208" s="11" t="str">
        <f>IFERROR(INDEX(全オプション!H:H,SMALL(全オプション!$F:$F,ROW(H206))),"")</f>
        <v/>
      </c>
      <c r="I208" s="11" t="str">
        <f>IFERROR(INDEX(全オプション!I:I,SMALL(全オプション!$F:$F,ROW(I206))),"")</f>
        <v/>
      </c>
      <c r="J208" s="22" t="str">
        <f>IFERROR(INDEX(全オプション!J:J,SMALL(全オプション!$F:$F,ROW(J206))),"")</f>
        <v/>
      </c>
    </row>
    <row r="209" spans="1:10">
      <c r="A209" s="21" t="str">
        <f>IFERROR(INDEX(全オプション!A:A,SMALL(全オプション!$F:$F,ROW(A207))),"")</f>
        <v/>
      </c>
      <c r="B209" s="20" t="str">
        <f>IFERROR(INDEX(全オプション!B:B,SMALL(全オプション!$F:$F,ROW(B207))),"")</f>
        <v/>
      </c>
      <c r="C209" s="9" t="str">
        <f>IFERROR(INDEX(全オプション!C:C,SMALL(全オプション!$F:$F,ROW(C207))),"")</f>
        <v/>
      </c>
      <c r="D209" s="18" t="str">
        <f>IFERROR(INDEX(全オプション!D:D,SMALL(全オプション!$F:$F,ROW(D207))),"")</f>
        <v/>
      </c>
      <c r="E209" s="19" t="str">
        <f>IFERROR(INDEX(全オプション!E:E,SMALL(全オプション!$F:$F,ROW(E207))),"")</f>
        <v/>
      </c>
      <c r="F209" s="2" t="str">
        <f>IFERROR(INDEX(全オプション!F:F,SMALL(全オプション!$F:$F,ROW(F207))),"")</f>
        <v/>
      </c>
      <c r="H209" s="11" t="str">
        <f>IFERROR(INDEX(全オプション!H:H,SMALL(全オプション!$F:$F,ROW(H207))),"")</f>
        <v/>
      </c>
      <c r="I209" s="11" t="str">
        <f>IFERROR(INDEX(全オプション!I:I,SMALL(全オプション!$F:$F,ROW(I207))),"")</f>
        <v/>
      </c>
      <c r="J209" s="22" t="str">
        <f>IFERROR(INDEX(全オプション!J:J,SMALL(全オプション!$F:$F,ROW(J207))),"")</f>
        <v/>
      </c>
    </row>
    <row r="210" spans="1:10">
      <c r="A210" s="21" t="str">
        <f>IFERROR(INDEX(全オプション!A:A,SMALL(全オプション!$F:$F,ROW(A208))),"")</f>
        <v/>
      </c>
      <c r="B210" s="20" t="str">
        <f>IFERROR(INDEX(全オプション!B:B,SMALL(全オプション!$F:$F,ROW(B208))),"")</f>
        <v/>
      </c>
      <c r="C210" s="9" t="str">
        <f>IFERROR(INDEX(全オプション!C:C,SMALL(全オプション!$F:$F,ROW(C208))),"")</f>
        <v/>
      </c>
      <c r="D210" s="18" t="str">
        <f>IFERROR(INDEX(全オプション!D:D,SMALL(全オプション!$F:$F,ROW(D208))),"")</f>
        <v/>
      </c>
      <c r="E210" s="19" t="str">
        <f>IFERROR(INDEX(全オプション!E:E,SMALL(全オプション!$F:$F,ROW(E208))),"")</f>
        <v/>
      </c>
      <c r="F210" s="2" t="str">
        <f>IFERROR(INDEX(全オプション!F:F,SMALL(全オプション!$F:$F,ROW(F208))),"")</f>
        <v/>
      </c>
      <c r="H210" s="11" t="str">
        <f>IFERROR(INDEX(全オプション!H:H,SMALL(全オプション!$F:$F,ROW(H208))),"")</f>
        <v/>
      </c>
      <c r="I210" s="11" t="str">
        <f>IFERROR(INDEX(全オプション!I:I,SMALL(全オプション!$F:$F,ROW(I208))),"")</f>
        <v/>
      </c>
      <c r="J210" s="22" t="str">
        <f>IFERROR(INDEX(全オプション!J:J,SMALL(全オプション!$F:$F,ROW(J208))),"")</f>
        <v/>
      </c>
    </row>
    <row r="211" spans="1:10">
      <c r="A211" s="21" t="str">
        <f>IFERROR(INDEX(全オプション!A:A,SMALL(全オプション!$F:$F,ROW(A209))),"")</f>
        <v/>
      </c>
      <c r="B211" s="20" t="str">
        <f>IFERROR(INDEX(全オプション!B:B,SMALL(全オプション!$F:$F,ROW(B209))),"")</f>
        <v/>
      </c>
      <c r="C211" s="9" t="str">
        <f>IFERROR(INDEX(全オプション!C:C,SMALL(全オプション!$F:$F,ROW(C209))),"")</f>
        <v/>
      </c>
      <c r="D211" s="18" t="str">
        <f>IFERROR(INDEX(全オプション!D:D,SMALL(全オプション!$F:$F,ROW(D209))),"")</f>
        <v/>
      </c>
      <c r="E211" s="19" t="str">
        <f>IFERROR(INDEX(全オプション!E:E,SMALL(全オプション!$F:$F,ROW(E209))),"")</f>
        <v/>
      </c>
      <c r="F211" s="2" t="str">
        <f>IFERROR(INDEX(全オプション!F:F,SMALL(全オプション!$F:$F,ROW(F209))),"")</f>
        <v/>
      </c>
      <c r="H211" s="11" t="str">
        <f>IFERROR(INDEX(全オプション!H:H,SMALL(全オプション!$F:$F,ROW(H209))),"")</f>
        <v/>
      </c>
      <c r="I211" s="11" t="str">
        <f>IFERROR(INDEX(全オプション!I:I,SMALL(全オプション!$F:$F,ROW(I209))),"")</f>
        <v/>
      </c>
      <c r="J211" s="22" t="str">
        <f>IFERROR(INDEX(全オプション!J:J,SMALL(全オプション!$F:$F,ROW(J209))),"")</f>
        <v/>
      </c>
    </row>
    <row r="212" spans="1:10">
      <c r="A212" s="21" t="str">
        <f>IFERROR(INDEX(全オプション!A:A,SMALL(全オプション!$F:$F,ROW(A210))),"")</f>
        <v/>
      </c>
      <c r="B212" s="20" t="str">
        <f>IFERROR(INDEX(全オプション!B:B,SMALL(全オプション!$F:$F,ROW(B210))),"")</f>
        <v/>
      </c>
      <c r="C212" s="9" t="str">
        <f>IFERROR(INDEX(全オプション!C:C,SMALL(全オプション!$F:$F,ROW(C210))),"")</f>
        <v/>
      </c>
      <c r="D212" s="18" t="str">
        <f>IFERROR(INDEX(全オプション!D:D,SMALL(全オプション!$F:$F,ROW(D210))),"")</f>
        <v/>
      </c>
      <c r="E212" s="19" t="str">
        <f>IFERROR(INDEX(全オプション!E:E,SMALL(全オプション!$F:$F,ROW(E210))),"")</f>
        <v/>
      </c>
      <c r="F212" s="2" t="str">
        <f>IFERROR(INDEX(全オプション!F:F,SMALL(全オプション!$F:$F,ROW(F210))),"")</f>
        <v/>
      </c>
      <c r="H212" s="11" t="str">
        <f>IFERROR(INDEX(全オプション!H:H,SMALL(全オプション!$F:$F,ROW(H210))),"")</f>
        <v/>
      </c>
      <c r="I212" s="11" t="str">
        <f>IFERROR(INDEX(全オプション!I:I,SMALL(全オプション!$F:$F,ROW(I210))),"")</f>
        <v/>
      </c>
      <c r="J212" s="22" t="str">
        <f>IFERROR(INDEX(全オプション!J:J,SMALL(全オプション!$F:$F,ROW(J210))),"")</f>
        <v/>
      </c>
    </row>
    <row r="213" spans="1:10">
      <c r="A213" s="21" t="str">
        <f>IFERROR(INDEX(全オプション!A:A,SMALL(全オプション!$F:$F,ROW(A211))),"")</f>
        <v/>
      </c>
      <c r="B213" s="20" t="str">
        <f>IFERROR(INDEX(全オプション!B:B,SMALL(全オプション!$F:$F,ROW(B211))),"")</f>
        <v/>
      </c>
      <c r="C213" s="9" t="str">
        <f>IFERROR(INDEX(全オプション!C:C,SMALL(全オプション!$F:$F,ROW(C211))),"")</f>
        <v/>
      </c>
      <c r="D213" s="18" t="str">
        <f>IFERROR(INDEX(全オプション!D:D,SMALL(全オプション!$F:$F,ROW(D211))),"")</f>
        <v/>
      </c>
      <c r="E213" s="19" t="str">
        <f>IFERROR(INDEX(全オプション!E:E,SMALL(全オプション!$F:$F,ROW(E211))),"")</f>
        <v/>
      </c>
      <c r="F213" s="2" t="str">
        <f>IFERROR(INDEX(全オプション!F:F,SMALL(全オプション!$F:$F,ROW(F211))),"")</f>
        <v/>
      </c>
      <c r="H213" s="11" t="str">
        <f>IFERROR(INDEX(全オプション!H:H,SMALL(全オプション!$F:$F,ROW(H211))),"")</f>
        <v/>
      </c>
      <c r="I213" s="11" t="str">
        <f>IFERROR(INDEX(全オプション!I:I,SMALL(全オプション!$F:$F,ROW(I211))),"")</f>
        <v/>
      </c>
      <c r="J213" s="22" t="str">
        <f>IFERROR(INDEX(全オプション!J:J,SMALL(全オプション!$F:$F,ROW(J211))),"")</f>
        <v/>
      </c>
    </row>
    <row r="214" spans="1:10">
      <c r="A214" s="21" t="str">
        <f>IFERROR(INDEX(全オプション!A:A,SMALL(全オプション!$F:$F,ROW(A212))),"")</f>
        <v/>
      </c>
      <c r="B214" s="20" t="str">
        <f>IFERROR(INDEX(全オプション!B:B,SMALL(全オプション!$F:$F,ROW(B212))),"")</f>
        <v/>
      </c>
      <c r="C214" s="9" t="str">
        <f>IFERROR(INDEX(全オプション!C:C,SMALL(全オプション!$F:$F,ROW(C212))),"")</f>
        <v/>
      </c>
      <c r="D214" s="18" t="str">
        <f>IFERROR(INDEX(全オプション!D:D,SMALL(全オプション!$F:$F,ROW(D212))),"")</f>
        <v/>
      </c>
      <c r="E214" s="19" t="str">
        <f>IFERROR(INDEX(全オプション!E:E,SMALL(全オプション!$F:$F,ROW(E212))),"")</f>
        <v/>
      </c>
      <c r="F214" s="2" t="str">
        <f>IFERROR(INDEX(全オプション!F:F,SMALL(全オプション!$F:$F,ROW(F212))),"")</f>
        <v/>
      </c>
      <c r="H214" s="11" t="str">
        <f>IFERROR(INDEX(全オプション!H:H,SMALL(全オプション!$F:$F,ROW(H212))),"")</f>
        <v/>
      </c>
      <c r="I214" s="11" t="str">
        <f>IFERROR(INDEX(全オプション!I:I,SMALL(全オプション!$F:$F,ROW(I212))),"")</f>
        <v/>
      </c>
      <c r="J214" s="22" t="str">
        <f>IFERROR(INDEX(全オプション!J:J,SMALL(全オプション!$F:$F,ROW(J212))),"")</f>
        <v/>
      </c>
    </row>
    <row r="215" spans="1:10">
      <c r="A215" s="21" t="str">
        <f>IFERROR(INDEX(全オプション!A:A,SMALL(全オプション!$F:$F,ROW(A213))),"")</f>
        <v/>
      </c>
      <c r="B215" s="20" t="str">
        <f>IFERROR(INDEX(全オプション!B:B,SMALL(全オプション!$F:$F,ROW(B213))),"")</f>
        <v/>
      </c>
      <c r="C215" s="9" t="str">
        <f>IFERROR(INDEX(全オプション!C:C,SMALL(全オプション!$F:$F,ROW(C213))),"")</f>
        <v/>
      </c>
      <c r="D215" s="18" t="str">
        <f>IFERROR(INDEX(全オプション!D:D,SMALL(全オプション!$F:$F,ROW(D213))),"")</f>
        <v/>
      </c>
      <c r="E215" s="19" t="str">
        <f>IFERROR(INDEX(全オプション!E:E,SMALL(全オプション!$F:$F,ROW(E213))),"")</f>
        <v/>
      </c>
      <c r="F215" s="2" t="str">
        <f>IFERROR(INDEX(全オプション!F:F,SMALL(全オプション!$F:$F,ROW(F213))),"")</f>
        <v/>
      </c>
      <c r="H215" s="11" t="str">
        <f>IFERROR(INDEX(全オプション!H:H,SMALL(全オプション!$F:$F,ROW(H213))),"")</f>
        <v/>
      </c>
      <c r="I215" s="11" t="str">
        <f>IFERROR(INDEX(全オプション!I:I,SMALL(全オプション!$F:$F,ROW(I213))),"")</f>
        <v/>
      </c>
      <c r="J215" s="22" t="str">
        <f>IFERROR(INDEX(全オプション!J:J,SMALL(全オプション!$F:$F,ROW(J213))),"")</f>
        <v/>
      </c>
    </row>
    <row r="216" spans="1:10">
      <c r="A216" s="21" t="str">
        <f>IFERROR(INDEX(全オプション!A:A,SMALL(全オプション!$F:$F,ROW(A214))),"")</f>
        <v/>
      </c>
      <c r="B216" s="20" t="str">
        <f>IFERROR(INDEX(全オプション!B:B,SMALL(全オプション!$F:$F,ROW(B214))),"")</f>
        <v/>
      </c>
      <c r="C216" s="9" t="str">
        <f>IFERROR(INDEX(全オプション!C:C,SMALL(全オプション!$F:$F,ROW(C214))),"")</f>
        <v/>
      </c>
      <c r="D216" s="18" t="str">
        <f>IFERROR(INDEX(全オプション!D:D,SMALL(全オプション!$F:$F,ROW(D214))),"")</f>
        <v/>
      </c>
      <c r="E216" s="19" t="str">
        <f>IFERROR(INDEX(全オプション!E:E,SMALL(全オプション!$F:$F,ROW(E214))),"")</f>
        <v/>
      </c>
      <c r="F216" s="2" t="str">
        <f>IFERROR(INDEX(全オプション!F:F,SMALL(全オプション!$F:$F,ROW(F214))),"")</f>
        <v/>
      </c>
      <c r="H216" s="11" t="str">
        <f>IFERROR(INDEX(全オプション!H:H,SMALL(全オプション!$F:$F,ROW(H214))),"")</f>
        <v/>
      </c>
      <c r="I216" s="11" t="str">
        <f>IFERROR(INDEX(全オプション!I:I,SMALL(全オプション!$F:$F,ROW(I214))),"")</f>
        <v/>
      </c>
      <c r="J216" s="22" t="str">
        <f>IFERROR(INDEX(全オプション!J:J,SMALL(全オプション!$F:$F,ROW(J214))),"")</f>
        <v/>
      </c>
    </row>
    <row r="217" spans="1:10">
      <c r="A217" s="21" t="str">
        <f>IFERROR(INDEX(全オプション!A:A,SMALL(全オプション!$F:$F,ROW(A215))),"")</f>
        <v/>
      </c>
      <c r="B217" s="20" t="str">
        <f>IFERROR(INDEX(全オプション!B:B,SMALL(全オプション!$F:$F,ROW(B215))),"")</f>
        <v/>
      </c>
      <c r="C217" s="9" t="str">
        <f>IFERROR(INDEX(全オプション!C:C,SMALL(全オプション!$F:$F,ROW(C215))),"")</f>
        <v/>
      </c>
      <c r="D217" s="18" t="str">
        <f>IFERROR(INDEX(全オプション!D:D,SMALL(全オプション!$F:$F,ROW(D215))),"")</f>
        <v/>
      </c>
      <c r="E217" s="19" t="str">
        <f>IFERROR(INDEX(全オプション!E:E,SMALL(全オプション!$F:$F,ROW(E215))),"")</f>
        <v/>
      </c>
      <c r="F217" s="2" t="str">
        <f>IFERROR(INDEX(全オプション!F:F,SMALL(全オプション!$F:$F,ROW(F215))),"")</f>
        <v/>
      </c>
      <c r="H217" s="11" t="str">
        <f>IFERROR(INDEX(全オプション!H:H,SMALL(全オプション!$F:$F,ROW(H215))),"")</f>
        <v/>
      </c>
      <c r="I217" s="11" t="str">
        <f>IFERROR(INDEX(全オプション!I:I,SMALL(全オプション!$F:$F,ROW(I215))),"")</f>
        <v/>
      </c>
      <c r="J217" s="22" t="str">
        <f>IFERROR(INDEX(全オプション!J:J,SMALL(全オプション!$F:$F,ROW(J215))),"")</f>
        <v/>
      </c>
    </row>
    <row r="218" spans="1:10">
      <c r="A218" s="21" t="str">
        <f>IFERROR(INDEX(全オプション!A:A,SMALL(全オプション!$F:$F,ROW(A216))),"")</f>
        <v/>
      </c>
      <c r="B218" s="20" t="str">
        <f>IFERROR(INDEX(全オプション!B:B,SMALL(全オプション!$F:$F,ROW(B216))),"")</f>
        <v/>
      </c>
      <c r="C218" s="9" t="str">
        <f>IFERROR(INDEX(全オプション!C:C,SMALL(全オプション!$F:$F,ROW(C216))),"")</f>
        <v/>
      </c>
      <c r="D218" s="18" t="str">
        <f>IFERROR(INDEX(全オプション!D:D,SMALL(全オプション!$F:$F,ROW(D216))),"")</f>
        <v/>
      </c>
      <c r="E218" s="19" t="str">
        <f>IFERROR(INDEX(全オプション!E:E,SMALL(全オプション!$F:$F,ROW(E216))),"")</f>
        <v/>
      </c>
      <c r="F218" s="2" t="str">
        <f>IFERROR(INDEX(全オプション!F:F,SMALL(全オプション!$F:$F,ROW(F216))),"")</f>
        <v/>
      </c>
      <c r="H218" s="11" t="str">
        <f>IFERROR(INDEX(全オプション!H:H,SMALL(全オプション!$F:$F,ROW(H216))),"")</f>
        <v/>
      </c>
      <c r="I218" s="11" t="str">
        <f>IFERROR(INDEX(全オプション!I:I,SMALL(全オプション!$F:$F,ROW(I216))),"")</f>
        <v/>
      </c>
      <c r="J218" s="22" t="str">
        <f>IFERROR(INDEX(全オプション!J:J,SMALL(全オプション!$F:$F,ROW(J216))),"")</f>
        <v/>
      </c>
    </row>
    <row r="219" spans="1:10">
      <c r="A219" s="21" t="str">
        <f>IFERROR(INDEX(全オプション!A:A,SMALL(全オプション!$F:$F,ROW(A217))),"")</f>
        <v/>
      </c>
      <c r="B219" s="20" t="str">
        <f>IFERROR(INDEX(全オプション!B:B,SMALL(全オプション!$F:$F,ROW(B217))),"")</f>
        <v/>
      </c>
      <c r="C219" s="9" t="str">
        <f>IFERROR(INDEX(全オプション!C:C,SMALL(全オプション!$F:$F,ROW(C217))),"")</f>
        <v/>
      </c>
      <c r="D219" s="18" t="str">
        <f>IFERROR(INDEX(全オプション!D:D,SMALL(全オプション!$F:$F,ROW(D217))),"")</f>
        <v/>
      </c>
      <c r="E219" s="19" t="str">
        <f>IFERROR(INDEX(全オプション!E:E,SMALL(全オプション!$F:$F,ROW(E217))),"")</f>
        <v/>
      </c>
      <c r="F219" s="2" t="str">
        <f>IFERROR(INDEX(全オプション!F:F,SMALL(全オプション!$F:$F,ROW(F217))),"")</f>
        <v/>
      </c>
      <c r="H219" s="11" t="str">
        <f>IFERROR(INDEX(全オプション!H:H,SMALL(全オプション!$F:$F,ROW(H217))),"")</f>
        <v/>
      </c>
      <c r="I219" s="11" t="str">
        <f>IFERROR(INDEX(全オプション!I:I,SMALL(全オプション!$F:$F,ROW(I217))),"")</f>
        <v/>
      </c>
      <c r="J219" s="22" t="str">
        <f>IFERROR(INDEX(全オプション!J:J,SMALL(全オプション!$F:$F,ROW(J217))),"")</f>
        <v/>
      </c>
    </row>
    <row r="220" spans="1:10">
      <c r="A220" s="21" t="str">
        <f>IFERROR(INDEX(全オプション!A:A,SMALL(全オプション!$F:$F,ROW(A218))),"")</f>
        <v/>
      </c>
      <c r="B220" s="20" t="str">
        <f>IFERROR(INDEX(全オプション!B:B,SMALL(全オプション!$F:$F,ROW(B218))),"")</f>
        <v/>
      </c>
      <c r="C220" s="9" t="str">
        <f>IFERROR(INDEX(全オプション!C:C,SMALL(全オプション!$F:$F,ROW(C218))),"")</f>
        <v/>
      </c>
      <c r="D220" s="18" t="str">
        <f>IFERROR(INDEX(全オプション!D:D,SMALL(全オプション!$F:$F,ROW(D218))),"")</f>
        <v/>
      </c>
      <c r="E220" s="19" t="str">
        <f>IFERROR(INDEX(全オプション!E:E,SMALL(全オプション!$F:$F,ROW(E218))),"")</f>
        <v/>
      </c>
      <c r="F220" s="2" t="str">
        <f>IFERROR(INDEX(全オプション!F:F,SMALL(全オプション!$F:$F,ROW(F218))),"")</f>
        <v/>
      </c>
      <c r="H220" s="11" t="str">
        <f>IFERROR(INDEX(全オプション!H:H,SMALL(全オプション!$F:$F,ROW(H218))),"")</f>
        <v/>
      </c>
      <c r="I220" s="11" t="str">
        <f>IFERROR(INDEX(全オプション!I:I,SMALL(全オプション!$F:$F,ROW(I218))),"")</f>
        <v/>
      </c>
      <c r="J220" s="22" t="str">
        <f>IFERROR(INDEX(全オプション!J:J,SMALL(全オプション!$F:$F,ROW(J218))),"")</f>
        <v/>
      </c>
    </row>
    <row r="221" spans="1:10">
      <c r="A221" s="21" t="str">
        <f>IFERROR(INDEX(全オプション!A:A,SMALL(全オプション!$F:$F,ROW(A219))),"")</f>
        <v/>
      </c>
      <c r="B221" s="20" t="str">
        <f>IFERROR(INDEX(全オプション!B:B,SMALL(全オプション!$F:$F,ROW(B219))),"")</f>
        <v/>
      </c>
      <c r="C221" s="9" t="str">
        <f>IFERROR(INDEX(全オプション!C:C,SMALL(全オプション!$F:$F,ROW(C219))),"")</f>
        <v/>
      </c>
      <c r="D221" s="18" t="str">
        <f>IFERROR(INDEX(全オプション!D:D,SMALL(全オプション!$F:$F,ROW(D219))),"")</f>
        <v/>
      </c>
      <c r="E221" s="19" t="str">
        <f>IFERROR(INDEX(全オプション!E:E,SMALL(全オプション!$F:$F,ROW(E219))),"")</f>
        <v/>
      </c>
      <c r="F221" s="2" t="str">
        <f>IFERROR(INDEX(全オプション!F:F,SMALL(全オプション!$F:$F,ROW(F219))),"")</f>
        <v/>
      </c>
      <c r="H221" s="11" t="str">
        <f>IFERROR(INDEX(全オプション!H:H,SMALL(全オプション!$F:$F,ROW(H219))),"")</f>
        <v/>
      </c>
      <c r="I221" s="11" t="str">
        <f>IFERROR(INDEX(全オプション!I:I,SMALL(全オプション!$F:$F,ROW(I219))),"")</f>
        <v/>
      </c>
      <c r="J221" s="22" t="str">
        <f>IFERROR(INDEX(全オプション!J:J,SMALL(全オプション!$F:$F,ROW(J219))),"")</f>
        <v/>
      </c>
    </row>
    <row r="222" spans="1:10">
      <c r="A222" s="21" t="str">
        <f>IFERROR(INDEX(全オプション!A:A,SMALL(全オプション!$F:$F,ROW(A220))),"")</f>
        <v/>
      </c>
      <c r="B222" s="20" t="str">
        <f>IFERROR(INDEX(全オプション!B:B,SMALL(全オプション!$F:$F,ROW(B220))),"")</f>
        <v/>
      </c>
      <c r="C222" s="9" t="str">
        <f>IFERROR(INDEX(全オプション!C:C,SMALL(全オプション!$F:$F,ROW(C220))),"")</f>
        <v/>
      </c>
      <c r="D222" s="18" t="str">
        <f>IFERROR(INDEX(全オプション!D:D,SMALL(全オプション!$F:$F,ROW(D220))),"")</f>
        <v/>
      </c>
      <c r="E222" s="19" t="str">
        <f>IFERROR(INDEX(全オプション!E:E,SMALL(全オプション!$F:$F,ROW(E220))),"")</f>
        <v/>
      </c>
      <c r="F222" s="2" t="str">
        <f>IFERROR(INDEX(全オプション!F:F,SMALL(全オプション!$F:$F,ROW(F220))),"")</f>
        <v/>
      </c>
      <c r="H222" s="11" t="str">
        <f>IFERROR(INDEX(全オプション!H:H,SMALL(全オプション!$F:$F,ROW(H220))),"")</f>
        <v/>
      </c>
      <c r="I222" s="11" t="str">
        <f>IFERROR(INDEX(全オプション!I:I,SMALL(全オプション!$F:$F,ROW(I220))),"")</f>
        <v/>
      </c>
      <c r="J222" s="22" t="str">
        <f>IFERROR(INDEX(全オプション!J:J,SMALL(全オプション!$F:$F,ROW(J220))),"")</f>
        <v/>
      </c>
    </row>
    <row r="223" spans="1:10">
      <c r="A223" s="21" t="str">
        <f>IFERROR(INDEX(全オプション!A:A,SMALL(全オプション!$F:$F,ROW(A221))),"")</f>
        <v/>
      </c>
      <c r="B223" s="20" t="str">
        <f>IFERROR(INDEX(全オプション!B:B,SMALL(全オプション!$F:$F,ROW(B221))),"")</f>
        <v/>
      </c>
      <c r="C223" s="9" t="str">
        <f>IFERROR(INDEX(全オプション!C:C,SMALL(全オプション!$F:$F,ROW(C221))),"")</f>
        <v/>
      </c>
      <c r="D223" s="18" t="str">
        <f>IFERROR(INDEX(全オプション!D:D,SMALL(全オプション!$F:$F,ROW(D221))),"")</f>
        <v/>
      </c>
      <c r="E223" s="19" t="str">
        <f>IFERROR(INDEX(全オプション!E:E,SMALL(全オプション!$F:$F,ROW(E221))),"")</f>
        <v/>
      </c>
      <c r="F223" s="2" t="str">
        <f>IFERROR(INDEX(全オプション!F:F,SMALL(全オプション!$F:$F,ROW(F221))),"")</f>
        <v/>
      </c>
      <c r="H223" s="11" t="str">
        <f>IFERROR(INDEX(全オプション!H:H,SMALL(全オプション!$F:$F,ROW(H221))),"")</f>
        <v/>
      </c>
      <c r="I223" s="11" t="str">
        <f>IFERROR(INDEX(全オプション!I:I,SMALL(全オプション!$F:$F,ROW(I221))),"")</f>
        <v/>
      </c>
      <c r="J223" s="22" t="str">
        <f>IFERROR(INDEX(全オプション!J:J,SMALL(全オプション!$F:$F,ROW(J221))),"")</f>
        <v/>
      </c>
    </row>
    <row r="224" spans="1:10">
      <c r="A224" s="21" t="str">
        <f>IFERROR(INDEX(全オプション!A:A,SMALL(全オプション!$F:$F,ROW(A222))),"")</f>
        <v/>
      </c>
      <c r="B224" s="20" t="str">
        <f>IFERROR(INDEX(全オプション!B:B,SMALL(全オプション!$F:$F,ROW(B222))),"")</f>
        <v/>
      </c>
      <c r="C224" s="9" t="str">
        <f>IFERROR(INDEX(全オプション!C:C,SMALL(全オプション!$F:$F,ROW(C222))),"")</f>
        <v/>
      </c>
      <c r="D224" s="18" t="str">
        <f>IFERROR(INDEX(全オプション!D:D,SMALL(全オプション!$F:$F,ROW(D222))),"")</f>
        <v/>
      </c>
      <c r="E224" s="19" t="str">
        <f>IFERROR(INDEX(全オプション!E:E,SMALL(全オプション!$F:$F,ROW(E222))),"")</f>
        <v/>
      </c>
      <c r="F224" s="2" t="str">
        <f>IFERROR(INDEX(全オプション!F:F,SMALL(全オプション!$F:$F,ROW(F222))),"")</f>
        <v/>
      </c>
      <c r="H224" s="11" t="str">
        <f>IFERROR(INDEX(全オプション!H:H,SMALL(全オプション!$F:$F,ROW(H222))),"")</f>
        <v/>
      </c>
      <c r="I224" s="11" t="str">
        <f>IFERROR(INDEX(全オプション!I:I,SMALL(全オプション!$F:$F,ROW(I222))),"")</f>
        <v/>
      </c>
      <c r="J224" s="22" t="str">
        <f>IFERROR(INDEX(全オプション!J:J,SMALL(全オプション!$F:$F,ROW(J222))),"")</f>
        <v/>
      </c>
    </row>
    <row r="225" spans="1:10">
      <c r="A225" s="21" t="str">
        <f>IFERROR(INDEX(全オプション!A:A,SMALL(全オプション!$F:$F,ROW(A223))),"")</f>
        <v/>
      </c>
      <c r="B225" s="20" t="str">
        <f>IFERROR(INDEX(全オプション!B:B,SMALL(全オプション!$F:$F,ROW(B223))),"")</f>
        <v/>
      </c>
      <c r="C225" s="9" t="str">
        <f>IFERROR(INDEX(全オプション!C:C,SMALL(全オプション!$F:$F,ROW(C223))),"")</f>
        <v/>
      </c>
      <c r="D225" s="18" t="str">
        <f>IFERROR(INDEX(全オプション!D:D,SMALL(全オプション!$F:$F,ROW(D223))),"")</f>
        <v/>
      </c>
      <c r="E225" s="19" t="str">
        <f>IFERROR(INDEX(全オプション!E:E,SMALL(全オプション!$F:$F,ROW(E223))),"")</f>
        <v/>
      </c>
      <c r="F225" s="2" t="str">
        <f>IFERROR(INDEX(全オプション!F:F,SMALL(全オプション!$F:$F,ROW(F223))),"")</f>
        <v/>
      </c>
      <c r="H225" s="11" t="str">
        <f>IFERROR(INDEX(全オプション!H:H,SMALL(全オプション!$F:$F,ROW(H223))),"")</f>
        <v/>
      </c>
      <c r="I225" s="11" t="str">
        <f>IFERROR(INDEX(全オプション!I:I,SMALL(全オプション!$F:$F,ROW(I223))),"")</f>
        <v/>
      </c>
      <c r="J225" s="22" t="str">
        <f>IFERROR(INDEX(全オプション!J:J,SMALL(全オプション!$F:$F,ROW(J223))),"")</f>
        <v/>
      </c>
    </row>
    <row r="226" spans="1:10">
      <c r="A226" s="21" t="str">
        <f>IFERROR(INDEX(全オプション!A:A,SMALL(全オプション!$F:$F,ROW(A224))),"")</f>
        <v/>
      </c>
      <c r="B226" s="20" t="str">
        <f>IFERROR(INDEX(全オプション!B:B,SMALL(全オプション!$F:$F,ROW(B224))),"")</f>
        <v/>
      </c>
      <c r="C226" s="9" t="str">
        <f>IFERROR(INDEX(全オプション!C:C,SMALL(全オプション!$F:$F,ROW(C224))),"")</f>
        <v/>
      </c>
      <c r="D226" s="18" t="str">
        <f>IFERROR(INDEX(全オプション!D:D,SMALL(全オプション!$F:$F,ROW(D224))),"")</f>
        <v/>
      </c>
      <c r="E226" s="19" t="str">
        <f>IFERROR(INDEX(全オプション!E:E,SMALL(全オプション!$F:$F,ROW(E224))),"")</f>
        <v/>
      </c>
      <c r="F226" s="2" t="str">
        <f>IFERROR(INDEX(全オプション!F:F,SMALL(全オプション!$F:$F,ROW(F224))),"")</f>
        <v/>
      </c>
      <c r="H226" s="11" t="str">
        <f>IFERROR(INDEX(全オプション!H:H,SMALL(全オプション!$F:$F,ROW(H224))),"")</f>
        <v/>
      </c>
      <c r="I226" s="11" t="str">
        <f>IFERROR(INDEX(全オプション!I:I,SMALL(全オプション!$F:$F,ROW(I224))),"")</f>
        <v/>
      </c>
      <c r="J226" s="22" t="str">
        <f>IFERROR(INDEX(全オプション!J:J,SMALL(全オプション!$F:$F,ROW(J224))),"")</f>
        <v/>
      </c>
    </row>
    <row r="227" spans="1:10">
      <c r="A227" s="21" t="str">
        <f>IFERROR(INDEX(全オプション!A:A,SMALL(全オプション!$F:$F,ROW(A225))),"")</f>
        <v/>
      </c>
      <c r="B227" s="20" t="str">
        <f>IFERROR(INDEX(全オプション!B:B,SMALL(全オプション!$F:$F,ROW(B225))),"")</f>
        <v/>
      </c>
      <c r="C227" s="9" t="str">
        <f>IFERROR(INDEX(全オプション!C:C,SMALL(全オプション!$F:$F,ROW(C225))),"")</f>
        <v/>
      </c>
      <c r="D227" s="18" t="str">
        <f>IFERROR(INDEX(全オプション!D:D,SMALL(全オプション!$F:$F,ROW(D225))),"")</f>
        <v/>
      </c>
      <c r="E227" s="19" t="str">
        <f>IFERROR(INDEX(全オプション!E:E,SMALL(全オプション!$F:$F,ROW(E225))),"")</f>
        <v/>
      </c>
      <c r="F227" s="2" t="str">
        <f>IFERROR(INDEX(全オプション!F:F,SMALL(全オプション!$F:$F,ROW(F225))),"")</f>
        <v/>
      </c>
      <c r="H227" s="11" t="str">
        <f>IFERROR(INDEX(全オプション!H:H,SMALL(全オプション!$F:$F,ROW(H225))),"")</f>
        <v/>
      </c>
      <c r="I227" s="11" t="str">
        <f>IFERROR(INDEX(全オプション!I:I,SMALL(全オプション!$F:$F,ROW(I225))),"")</f>
        <v/>
      </c>
      <c r="J227" s="22" t="str">
        <f>IFERROR(INDEX(全オプション!J:J,SMALL(全オプション!$F:$F,ROW(J225))),"")</f>
        <v/>
      </c>
    </row>
    <row r="228" spans="1:10">
      <c r="A228" s="21" t="str">
        <f>IFERROR(INDEX(全オプション!A:A,SMALL(全オプション!$F:$F,ROW(A226))),"")</f>
        <v/>
      </c>
      <c r="B228" s="20" t="str">
        <f>IFERROR(INDEX(全オプション!B:B,SMALL(全オプション!$F:$F,ROW(B226))),"")</f>
        <v/>
      </c>
      <c r="C228" s="9" t="str">
        <f>IFERROR(INDEX(全オプション!C:C,SMALL(全オプション!$F:$F,ROW(C226))),"")</f>
        <v/>
      </c>
      <c r="D228" s="18" t="str">
        <f>IFERROR(INDEX(全オプション!D:D,SMALL(全オプション!$F:$F,ROW(D226))),"")</f>
        <v/>
      </c>
      <c r="E228" s="19" t="str">
        <f>IFERROR(INDEX(全オプション!E:E,SMALL(全オプション!$F:$F,ROW(E226))),"")</f>
        <v/>
      </c>
      <c r="F228" s="2" t="str">
        <f>IFERROR(INDEX(全オプション!F:F,SMALL(全オプション!$F:$F,ROW(F226))),"")</f>
        <v/>
      </c>
      <c r="H228" s="11" t="str">
        <f>IFERROR(INDEX(全オプション!H:H,SMALL(全オプション!$F:$F,ROW(H226))),"")</f>
        <v/>
      </c>
      <c r="I228" s="11" t="str">
        <f>IFERROR(INDEX(全オプション!I:I,SMALL(全オプション!$F:$F,ROW(I226))),"")</f>
        <v/>
      </c>
      <c r="J228" s="22" t="str">
        <f>IFERROR(INDEX(全オプション!J:J,SMALL(全オプション!$F:$F,ROW(J226))),"")</f>
        <v/>
      </c>
    </row>
    <row r="229" spans="1:10">
      <c r="A229" s="21" t="str">
        <f>IFERROR(INDEX(全オプション!A:A,SMALL(全オプション!$F:$F,ROW(A227))),"")</f>
        <v/>
      </c>
      <c r="B229" s="20" t="str">
        <f>IFERROR(INDEX(全オプション!B:B,SMALL(全オプション!$F:$F,ROW(B227))),"")</f>
        <v/>
      </c>
      <c r="C229" s="9" t="str">
        <f>IFERROR(INDEX(全オプション!C:C,SMALL(全オプション!$F:$F,ROW(C227))),"")</f>
        <v/>
      </c>
      <c r="D229" s="18" t="str">
        <f>IFERROR(INDEX(全オプション!D:D,SMALL(全オプション!$F:$F,ROW(D227))),"")</f>
        <v/>
      </c>
      <c r="E229" s="19" t="str">
        <f>IFERROR(INDEX(全オプション!E:E,SMALL(全オプション!$F:$F,ROW(E227))),"")</f>
        <v/>
      </c>
      <c r="F229" s="2" t="str">
        <f>IFERROR(INDEX(全オプション!F:F,SMALL(全オプション!$F:$F,ROW(F227))),"")</f>
        <v/>
      </c>
      <c r="H229" s="11" t="str">
        <f>IFERROR(INDEX(全オプション!H:H,SMALL(全オプション!$F:$F,ROW(H227))),"")</f>
        <v/>
      </c>
      <c r="I229" s="11" t="str">
        <f>IFERROR(INDEX(全オプション!I:I,SMALL(全オプション!$F:$F,ROW(I227))),"")</f>
        <v/>
      </c>
      <c r="J229" s="22" t="str">
        <f>IFERROR(INDEX(全オプション!J:J,SMALL(全オプション!$F:$F,ROW(J227))),"")</f>
        <v/>
      </c>
    </row>
    <row r="230" spans="1:10">
      <c r="A230" s="21" t="str">
        <f>IFERROR(INDEX(全オプション!A:A,SMALL(全オプション!$F:$F,ROW(A228))),"")</f>
        <v/>
      </c>
      <c r="B230" s="20" t="str">
        <f>IFERROR(INDEX(全オプション!B:B,SMALL(全オプション!$F:$F,ROW(B228))),"")</f>
        <v/>
      </c>
      <c r="C230" s="9" t="str">
        <f>IFERROR(INDEX(全オプション!C:C,SMALL(全オプション!$F:$F,ROW(C228))),"")</f>
        <v/>
      </c>
      <c r="D230" s="18" t="str">
        <f>IFERROR(INDEX(全オプション!D:D,SMALL(全オプション!$F:$F,ROW(D228))),"")</f>
        <v/>
      </c>
      <c r="E230" s="19" t="str">
        <f>IFERROR(INDEX(全オプション!E:E,SMALL(全オプション!$F:$F,ROW(E228))),"")</f>
        <v/>
      </c>
      <c r="F230" s="2" t="str">
        <f>IFERROR(INDEX(全オプション!F:F,SMALL(全オプション!$F:$F,ROW(F228))),"")</f>
        <v/>
      </c>
      <c r="H230" s="11" t="str">
        <f>IFERROR(INDEX(全オプション!H:H,SMALL(全オプション!$F:$F,ROW(H228))),"")</f>
        <v/>
      </c>
      <c r="I230" s="11" t="str">
        <f>IFERROR(INDEX(全オプション!I:I,SMALL(全オプション!$F:$F,ROW(I228))),"")</f>
        <v/>
      </c>
      <c r="J230" s="22" t="str">
        <f>IFERROR(INDEX(全オプション!J:J,SMALL(全オプション!$F:$F,ROW(J228))),"")</f>
        <v/>
      </c>
    </row>
    <row r="231" spans="1:10">
      <c r="A231" s="21" t="str">
        <f>IFERROR(INDEX(全オプション!A:A,SMALL(全オプション!$F:$F,ROW(A229))),"")</f>
        <v/>
      </c>
      <c r="B231" s="20" t="str">
        <f>IFERROR(INDEX(全オプション!B:B,SMALL(全オプション!$F:$F,ROW(B229))),"")</f>
        <v/>
      </c>
      <c r="C231" s="9" t="str">
        <f>IFERROR(INDEX(全オプション!C:C,SMALL(全オプション!$F:$F,ROW(C229))),"")</f>
        <v/>
      </c>
      <c r="D231" s="18" t="str">
        <f>IFERROR(INDEX(全オプション!D:D,SMALL(全オプション!$F:$F,ROW(D229))),"")</f>
        <v/>
      </c>
      <c r="E231" s="19" t="str">
        <f>IFERROR(INDEX(全オプション!E:E,SMALL(全オプション!$F:$F,ROW(E229))),"")</f>
        <v/>
      </c>
      <c r="F231" s="2" t="str">
        <f>IFERROR(INDEX(全オプション!F:F,SMALL(全オプション!$F:$F,ROW(F229))),"")</f>
        <v/>
      </c>
      <c r="H231" s="11" t="str">
        <f>IFERROR(INDEX(全オプション!H:H,SMALL(全オプション!$F:$F,ROW(H229))),"")</f>
        <v/>
      </c>
      <c r="I231" s="11" t="str">
        <f>IFERROR(INDEX(全オプション!I:I,SMALL(全オプション!$F:$F,ROW(I229))),"")</f>
        <v/>
      </c>
      <c r="J231" s="22" t="str">
        <f>IFERROR(INDEX(全オプション!J:J,SMALL(全オプション!$F:$F,ROW(J229))),"")</f>
        <v/>
      </c>
    </row>
    <row r="232" spans="1:10">
      <c r="A232" s="21" t="str">
        <f>IFERROR(INDEX(全オプション!A:A,SMALL(全オプション!$F:$F,ROW(A230))),"")</f>
        <v/>
      </c>
      <c r="B232" s="20" t="str">
        <f>IFERROR(INDEX(全オプション!B:B,SMALL(全オプション!$F:$F,ROW(B230))),"")</f>
        <v/>
      </c>
      <c r="C232" s="9" t="str">
        <f>IFERROR(INDEX(全オプション!C:C,SMALL(全オプション!$F:$F,ROW(C230))),"")</f>
        <v/>
      </c>
      <c r="D232" s="18" t="str">
        <f>IFERROR(INDEX(全オプション!D:D,SMALL(全オプション!$F:$F,ROW(D230))),"")</f>
        <v/>
      </c>
      <c r="E232" s="19" t="str">
        <f>IFERROR(INDEX(全オプション!E:E,SMALL(全オプション!$F:$F,ROW(E230))),"")</f>
        <v/>
      </c>
      <c r="F232" s="2" t="str">
        <f>IFERROR(INDEX(全オプション!F:F,SMALL(全オプション!$F:$F,ROW(F230))),"")</f>
        <v/>
      </c>
      <c r="H232" s="11" t="str">
        <f>IFERROR(INDEX(全オプション!H:H,SMALL(全オプション!$F:$F,ROW(H230))),"")</f>
        <v/>
      </c>
      <c r="I232" s="11" t="str">
        <f>IFERROR(INDEX(全オプション!I:I,SMALL(全オプション!$F:$F,ROW(I230))),"")</f>
        <v/>
      </c>
      <c r="J232" s="22" t="str">
        <f>IFERROR(INDEX(全オプション!J:J,SMALL(全オプション!$F:$F,ROW(J230))),"")</f>
        <v/>
      </c>
    </row>
    <row r="233" spans="1:10">
      <c r="A233" s="21" t="str">
        <f>IFERROR(INDEX(全オプション!A:A,SMALL(全オプション!$F:$F,ROW(A231))),"")</f>
        <v/>
      </c>
      <c r="B233" s="20" t="str">
        <f>IFERROR(INDEX(全オプション!B:B,SMALL(全オプション!$F:$F,ROW(B231))),"")</f>
        <v/>
      </c>
      <c r="C233" s="9" t="str">
        <f>IFERROR(INDEX(全オプション!C:C,SMALL(全オプション!$F:$F,ROW(C231))),"")</f>
        <v/>
      </c>
      <c r="D233" s="18" t="str">
        <f>IFERROR(INDEX(全オプション!D:D,SMALL(全オプション!$F:$F,ROW(D231))),"")</f>
        <v/>
      </c>
      <c r="E233" s="19" t="str">
        <f>IFERROR(INDEX(全オプション!E:E,SMALL(全オプション!$F:$F,ROW(E231))),"")</f>
        <v/>
      </c>
      <c r="F233" s="2" t="str">
        <f>IFERROR(INDEX(全オプション!F:F,SMALL(全オプション!$F:$F,ROW(F231))),"")</f>
        <v/>
      </c>
      <c r="H233" s="11" t="str">
        <f>IFERROR(INDEX(全オプション!H:H,SMALL(全オプション!$F:$F,ROW(H231))),"")</f>
        <v/>
      </c>
      <c r="I233" s="11" t="str">
        <f>IFERROR(INDEX(全オプション!I:I,SMALL(全オプション!$F:$F,ROW(I231))),"")</f>
        <v/>
      </c>
      <c r="J233" s="22" t="str">
        <f>IFERROR(INDEX(全オプション!J:J,SMALL(全オプション!$F:$F,ROW(J231))),"")</f>
        <v/>
      </c>
    </row>
    <row r="234" spans="1:10">
      <c r="A234" s="21" t="str">
        <f>IFERROR(INDEX(全オプション!A:A,SMALL(全オプション!$F:$F,ROW(A232))),"")</f>
        <v/>
      </c>
      <c r="B234" s="20" t="str">
        <f>IFERROR(INDEX(全オプション!B:B,SMALL(全オプション!$F:$F,ROW(B232))),"")</f>
        <v/>
      </c>
      <c r="C234" s="9" t="str">
        <f>IFERROR(INDEX(全オプション!C:C,SMALL(全オプション!$F:$F,ROW(C232))),"")</f>
        <v/>
      </c>
      <c r="D234" s="18" t="str">
        <f>IFERROR(INDEX(全オプション!D:D,SMALL(全オプション!$F:$F,ROW(D232))),"")</f>
        <v/>
      </c>
      <c r="E234" s="19" t="str">
        <f>IFERROR(INDEX(全オプション!E:E,SMALL(全オプション!$F:$F,ROW(E232))),"")</f>
        <v/>
      </c>
      <c r="F234" s="2" t="str">
        <f>IFERROR(INDEX(全オプション!F:F,SMALL(全オプション!$F:$F,ROW(F232))),"")</f>
        <v/>
      </c>
      <c r="H234" s="11" t="str">
        <f>IFERROR(INDEX(全オプション!H:H,SMALL(全オプション!$F:$F,ROW(H232))),"")</f>
        <v/>
      </c>
      <c r="I234" s="11" t="str">
        <f>IFERROR(INDEX(全オプション!I:I,SMALL(全オプション!$F:$F,ROW(I232))),"")</f>
        <v/>
      </c>
      <c r="J234" s="22" t="str">
        <f>IFERROR(INDEX(全オプション!J:J,SMALL(全オプション!$F:$F,ROW(J232))),"")</f>
        <v/>
      </c>
    </row>
  </sheetData>
  <sheetProtection algorithmName="SHA-512" hashValue="t9M0R2VPC34NJHdIPOzzeG/Jxycm78tq80Km5aTpgoQ/4FrZMiebvRbn+RxnfP/NkV1yBRzNaAMQN81rveYDBQ==" saltValue="7r10IkKlRGAecZIVbe3pSQ==" spinCount="100000" sheet="1" objects="1" scenarios="1"/>
  <phoneticPr fontId="2"/>
  <pageMargins left="0.82677165354330717" right="0.51181102362204722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見積表 (平屋用) </vt:lpstr>
      <vt:lpstr>見積表 (2F用)</vt:lpstr>
      <vt:lpstr>全オプション</vt:lpstr>
      <vt:lpstr>棚拾い表</vt:lpstr>
      <vt:lpstr>抽出オプション</vt:lpstr>
      <vt:lpstr>'見積表 (2F用)'!Print_Area</vt:lpstr>
      <vt:lpstr>'見積表 (平屋用) '!Print_Area</vt:lpstr>
      <vt:lpstr>全オプション!Print_Area</vt:lpstr>
      <vt:lpstr>棚拾い表!Print_Area</vt:lpstr>
      <vt:lpstr>抽出オプション!Print_Area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剛 倉田</dc:creator>
  <cp:lastModifiedBy>剛 倉田</cp:lastModifiedBy>
  <cp:lastPrinted>2024-09-09T13:27:45Z</cp:lastPrinted>
  <dcterms:created xsi:type="dcterms:W3CDTF">2023-09-16T08:07:02Z</dcterms:created>
  <dcterms:modified xsi:type="dcterms:W3CDTF">2024-09-14T01:22:52Z</dcterms:modified>
</cp:coreProperties>
</file>